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8.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0.xml" ContentType="application/vnd.openxmlformats-officedocument.drawing+xml"/>
  <Override PartName="/xl/ctrlProps/ctrlProp6.xml" ContentType="application/vnd.ms-excel.controlproperties+xml"/>
  <Override PartName="/xl/drawings/drawing11.xml" ContentType="application/vnd.openxmlformats-officedocument.drawing+xml"/>
  <Override PartName="/xl/ctrlProps/ctrlProp7.xml" ContentType="application/vnd.ms-excel.controlproperties+xml"/>
  <Override PartName="/xl/drawings/drawing12.xml" ContentType="application/vnd.openxmlformats-officedocument.drawing+xml"/>
  <Override PartName="/xl/ctrlProps/ctrlProp8.xml" ContentType="application/vnd.ms-excel.controlproperti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3.xml" ContentType="application/vnd.openxmlformats-officedocument.drawing+xml"/>
  <Override PartName="/xl/ctrlProps/ctrlProp9.xml" ContentType="application/vnd.ms-excel.controlproperties+xml"/>
  <Override PartName="/xl/drawings/drawing14.xml" ContentType="application/vnd.openxmlformats-officedocument.drawing+xml"/>
  <Override PartName="/xl/ctrlProps/ctrlProp10.xml" ContentType="application/vnd.ms-excel.controlproperties+xml"/>
  <Override PartName="/xl/drawings/drawing15.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6.xml" ContentType="application/vnd.openxmlformats-officedocument.drawing+xml"/>
  <Override PartName="/xl/ctrlProps/ctrlProp11.xml" ContentType="application/vnd.ms-excel.controlproperti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66925"/>
  <mc:AlternateContent xmlns:mc="http://schemas.openxmlformats.org/markup-compatibility/2006">
    <mc:Choice Requires="x15">
      <x15ac:absPath xmlns:x15ac="http://schemas.microsoft.com/office/spreadsheetml/2010/11/ac" url="Y:\My Downloads\"/>
    </mc:Choice>
  </mc:AlternateContent>
  <xr:revisionPtr revIDLastSave="0" documentId="13_ncr:1_{0FA0DE1B-B1B8-4A5D-85DB-EB62927ED188}" xr6:coauthVersionLast="47" xr6:coauthVersionMax="47" xr10:uidLastSave="{00000000-0000-0000-0000-000000000000}"/>
  <bookViews>
    <workbookView xWindow="-110" yWindow="-110" windowWidth="19420" windowHeight="10300" activeTab="5" xr2:uid="{F76A81E0-0209-487C-B582-072FC174311E}"/>
  </bookViews>
  <sheets>
    <sheet name="Answer 5" sheetId="1" r:id="rId1"/>
    <sheet name="5 (i)" sheetId="2" r:id="rId2"/>
    <sheet name="BP vs r" sheetId="3" r:id="rId3"/>
    <sheet name="BP vs Cpr" sheetId="4" r:id="rId4"/>
    <sheet name="BP vs m" sheetId="5" r:id="rId5"/>
    <sheet name="BP vs r vs T" sheetId="6" r:id="rId6"/>
    <sheet name="Duration" sheetId="7" r:id="rId7"/>
    <sheet name="Dur vs Cpr" sheetId="8" r:id="rId8"/>
    <sheet name="Dur vs m" sheetId="9" r:id="rId9"/>
    <sheet name="Dur vs r" sheetId="10" r:id="rId10"/>
    <sheet name="Hopewell Kaufman" sheetId="11" r:id="rId11"/>
    <sheet name="(ii)YTM Bisection" sheetId="12" r:id="rId12"/>
    <sheet name="(iii) Mortgage" sheetId="13" r:id="rId13"/>
    <sheet name="Schedule" sheetId="14" r:id="rId14"/>
    <sheet name=" (iv) Bootstrap" sheetId="15" r:id="rId15"/>
    <sheet name="6. (i) Black1976" sheetId="16" r:id="rId16"/>
    <sheet name="Black1976 vs Future" sheetId="24" r:id="rId17"/>
    <sheet name="Black1976 vs Sigma" sheetId="25" r:id="rId18"/>
    <sheet name="(ii)" sheetId="17" r:id="rId19"/>
    <sheet name="Taylor Rule" sheetId="18" r:id="rId20"/>
    <sheet name="Regression " sheetId="19" r:id="rId21"/>
    <sheet name="Linest" sheetId="20" r:id="rId22"/>
    <sheet name="Taylor Rule With Unemployment" sheetId="26" r:id="rId23"/>
    <sheet name="Taylor Rule with DV" sheetId="27" r:id="rId24"/>
    <sheet name="Lending Club" sheetId="22" r:id="rId25"/>
  </sheets>
  <functionGroups builtInGroupCount="19"/>
  <definedNames>
    <definedName name="solver_adj" localSheetId="21" hidden="1">Linest!$E$7:$F$7</definedName>
    <definedName name="solver_adj" localSheetId="19" hidden="1">'Taylor Rule'!$B$17:$C$17</definedName>
    <definedName name="solver_cvg" localSheetId="21" hidden="1">0.0001</definedName>
    <definedName name="solver_cvg" localSheetId="19" hidden="1">0.0001</definedName>
    <definedName name="solver_drv" localSheetId="21" hidden="1">1</definedName>
    <definedName name="solver_drv" localSheetId="19" hidden="1">2</definedName>
    <definedName name="solver_eng" localSheetId="2" hidden="1">1</definedName>
    <definedName name="solver_eng" localSheetId="21" hidden="1">1</definedName>
    <definedName name="solver_eng" localSheetId="19" hidden="1">1</definedName>
    <definedName name="solver_est" localSheetId="21" hidden="1">1</definedName>
    <definedName name="solver_est" localSheetId="19" hidden="1">1</definedName>
    <definedName name="solver_itr" localSheetId="21" hidden="1">2147483647</definedName>
    <definedName name="solver_itr" localSheetId="19" hidden="1">2147483647</definedName>
    <definedName name="solver_mip" localSheetId="21" hidden="1">2147483647</definedName>
    <definedName name="solver_mip" localSheetId="19" hidden="1">2147483647</definedName>
    <definedName name="solver_mni" localSheetId="21" hidden="1">30</definedName>
    <definedName name="solver_mni" localSheetId="19" hidden="1">30</definedName>
    <definedName name="solver_mrt" localSheetId="21" hidden="1">0.075</definedName>
    <definedName name="solver_mrt" localSheetId="19" hidden="1">0.075</definedName>
    <definedName name="solver_msl" localSheetId="21" hidden="1">2</definedName>
    <definedName name="solver_msl" localSheetId="19" hidden="1">2</definedName>
    <definedName name="solver_neg" localSheetId="2" hidden="1">1</definedName>
    <definedName name="solver_neg" localSheetId="21" hidden="1">1</definedName>
    <definedName name="solver_neg" localSheetId="19" hidden="1">1</definedName>
    <definedName name="solver_nod" localSheetId="21" hidden="1">2147483647</definedName>
    <definedName name="solver_nod" localSheetId="19" hidden="1">2147483647</definedName>
    <definedName name="solver_num" localSheetId="2" hidden="1">0</definedName>
    <definedName name="solver_num" localSheetId="21" hidden="1">0</definedName>
    <definedName name="solver_num" localSheetId="19" hidden="1">0</definedName>
    <definedName name="solver_nwt" localSheetId="21" hidden="1">1</definedName>
    <definedName name="solver_nwt" localSheetId="19" hidden="1">1</definedName>
    <definedName name="solver_opt" localSheetId="2" hidden="1">'BP vs r'!$F$6</definedName>
    <definedName name="solver_opt" localSheetId="21" hidden="1">Linest!$I$15</definedName>
    <definedName name="solver_opt" localSheetId="19" hidden="1">'Taylor Rule'!$H$15</definedName>
    <definedName name="solver_pre" localSheetId="21" hidden="1">0.000001</definedName>
    <definedName name="solver_pre" localSheetId="19" hidden="1">0.000001</definedName>
    <definedName name="solver_rbv" localSheetId="21" hidden="1">1</definedName>
    <definedName name="solver_rbv" localSheetId="19" hidden="1">2</definedName>
    <definedName name="solver_rlx" localSheetId="21" hidden="1">2</definedName>
    <definedName name="solver_rlx" localSheetId="19" hidden="1">2</definedName>
    <definedName name="solver_rsd" localSheetId="21" hidden="1">0</definedName>
    <definedName name="solver_rsd" localSheetId="19" hidden="1">0</definedName>
    <definedName name="solver_scl" localSheetId="21" hidden="1">1</definedName>
    <definedName name="solver_scl" localSheetId="19" hidden="1">2</definedName>
    <definedName name="solver_sho" localSheetId="21" hidden="1">2</definedName>
    <definedName name="solver_sho" localSheetId="19" hidden="1">2</definedName>
    <definedName name="solver_ssz" localSheetId="21" hidden="1">100</definedName>
    <definedName name="solver_ssz" localSheetId="19" hidden="1">100</definedName>
    <definedName name="solver_tim" localSheetId="21" hidden="1">2147483647</definedName>
    <definedName name="solver_tim" localSheetId="19" hidden="1">2147483647</definedName>
    <definedName name="solver_tol" localSheetId="21" hidden="1">0.01</definedName>
    <definedName name="solver_tol" localSheetId="19" hidden="1">0.01</definedName>
    <definedName name="solver_typ" localSheetId="2" hidden="1">1</definedName>
    <definedName name="solver_typ" localSheetId="21" hidden="1">2</definedName>
    <definedName name="solver_typ" localSheetId="19" hidden="1">3</definedName>
    <definedName name="solver_val" localSheetId="2" hidden="1">0</definedName>
    <definedName name="solver_val" localSheetId="21" hidden="1">0</definedName>
    <definedName name="solver_val" localSheetId="19" hidden="1">0</definedName>
    <definedName name="solver_ver" localSheetId="2" hidden="1">3</definedName>
    <definedName name="solver_ver" localSheetId="21" hidden="1">3</definedName>
    <definedName name="solver_ver" localSheetId="19"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78" i="26" l="1"/>
  <c r="E77" i="26"/>
  <c r="E76" i="26"/>
  <c r="E75" i="26"/>
  <c r="E74" i="26"/>
  <c r="E73" i="26"/>
  <c r="E72" i="26"/>
  <c r="E71" i="26"/>
  <c r="E70" i="26"/>
  <c r="E69" i="26"/>
  <c r="E68" i="26"/>
  <c r="E67" i="26"/>
  <c r="E66" i="26"/>
  <c r="E65" i="26"/>
  <c r="E64" i="26"/>
  <c r="E63" i="26"/>
  <c r="E62" i="26"/>
  <c r="E61" i="26"/>
  <c r="E60" i="26"/>
  <c r="E59" i="26"/>
  <c r="E58" i="26"/>
  <c r="E57" i="26"/>
  <c r="E56" i="26"/>
  <c r="E55" i="26"/>
  <c r="E54" i="26"/>
  <c r="E53" i="26"/>
  <c r="E52" i="26"/>
  <c r="E51" i="26"/>
  <c r="E50" i="26"/>
  <c r="E49" i="26"/>
  <c r="E48" i="26"/>
  <c r="E47" i="26"/>
  <c r="E46" i="26"/>
  <c r="E45" i="26"/>
  <c r="E44" i="26"/>
  <c r="E43" i="26"/>
  <c r="E42" i="26"/>
  <c r="E41" i="26"/>
  <c r="E40" i="26"/>
  <c r="E39" i="26"/>
  <c r="E38" i="26"/>
  <c r="E37" i="26"/>
  <c r="E36" i="26"/>
  <c r="E35" i="26"/>
  <c r="E34" i="26"/>
  <c r="E33" i="26"/>
  <c r="E32" i="26"/>
  <c r="E31" i="26"/>
  <c r="E30" i="26"/>
  <c r="E29" i="26"/>
  <c r="E28" i="26"/>
  <c r="E27" i="26"/>
  <c r="E26" i="26"/>
  <c r="E25" i="26"/>
  <c r="E24" i="26"/>
  <c r="E23" i="26"/>
  <c r="E22" i="26"/>
  <c r="E21" i="26"/>
  <c r="E20" i="26"/>
  <c r="E19" i="26"/>
  <c r="E18" i="26"/>
  <c r="E17" i="26"/>
  <c r="E16" i="26"/>
  <c r="E15" i="26"/>
  <c r="E14" i="26"/>
  <c r="E13" i="26"/>
  <c r="E12" i="26"/>
  <c r="E11" i="26"/>
  <c r="E10" i="26"/>
  <c r="E9" i="26"/>
  <c r="E8" i="26"/>
  <c r="E7" i="26"/>
  <c r="E6" i="26"/>
  <c r="E5" i="26"/>
  <c r="E4" i="26"/>
  <c r="E3" i="26"/>
  <c r="E2" i="26"/>
  <c r="C6" i="25"/>
  <c r="C12" i="24"/>
  <c r="C12" i="25"/>
  <c r="G6" i="25"/>
  <c r="G6" i="24" l="1"/>
  <c r="E19" i="20" a="1"/>
  <c r="E19" i="20" s="1"/>
  <c r="G8" i="20"/>
  <c r="H8" i="20" s="1"/>
  <c r="I8" i="20" s="1"/>
  <c r="G9" i="20"/>
  <c r="H9" i="20" s="1"/>
  <c r="I9" i="20" s="1"/>
  <c r="G10" i="20"/>
  <c r="H10" i="20" s="1"/>
  <c r="I10" i="20" s="1"/>
  <c r="G11" i="20"/>
  <c r="H11" i="20" s="1"/>
  <c r="I11" i="20" s="1"/>
  <c r="G12" i="20"/>
  <c r="H12" i="20" s="1"/>
  <c r="I12" i="20" s="1"/>
  <c r="G13" i="20"/>
  <c r="H13" i="20" s="1"/>
  <c r="I13" i="20" s="1"/>
  <c r="G7" i="20"/>
  <c r="H7" i="20" s="1"/>
  <c r="I7" i="20" s="1"/>
  <c r="D24" i="18"/>
  <c r="D23" i="18"/>
  <c r="E24" i="20" l="1"/>
  <c r="G23" i="20"/>
  <c r="E21" i="20"/>
  <c r="F21" i="20"/>
  <c r="F23" i="20"/>
  <c r="G20" i="20"/>
  <c r="F24" i="20"/>
  <c r="E23" i="20"/>
  <c r="F20" i="20"/>
  <c r="G22" i="20"/>
  <c r="E20" i="20"/>
  <c r="G21" i="20"/>
  <c r="F22" i="20"/>
  <c r="G19" i="20"/>
  <c r="G24" i="20"/>
  <c r="E22" i="20"/>
  <c r="F19" i="20"/>
  <c r="I15" i="20"/>
  <c r="F7" i="18" l="1"/>
  <c r="B8" i="18"/>
  <c r="B9" i="18"/>
  <c r="B10" i="18"/>
  <c r="B11" i="18"/>
  <c r="B12" i="18"/>
  <c r="B13" i="18"/>
  <c r="B7" i="18"/>
  <c r="F8" i="18"/>
  <c r="F9" i="18"/>
  <c r="F10" i="18"/>
  <c r="F11" i="18"/>
  <c r="F12" i="18"/>
  <c r="F13" i="18"/>
  <c r="G7" i="18" l="1"/>
  <c r="H7" i="18" s="1"/>
  <c r="G9" i="18"/>
  <c r="H9" i="18" s="1"/>
  <c r="G8" i="18"/>
  <c r="H8" i="18" s="1"/>
  <c r="J8" i="18" a="1"/>
  <c r="G11" i="18"/>
  <c r="H11" i="18" s="1"/>
  <c r="G10" i="18"/>
  <c r="H10" i="18" s="1"/>
  <c r="G12" i="18"/>
  <c r="H12" i="18" s="1"/>
  <c r="G13" i="18"/>
  <c r="H13" i="18" s="1"/>
  <c r="B17" i="15" a="1"/>
  <c r="B17" i="15" s="1"/>
  <c r="D17" i="15" s="1"/>
  <c r="B13" i="15" a="1"/>
  <c r="B13" i="15" s="1"/>
  <c r="B14" i="15" s="1"/>
  <c r="D15" i="14"/>
  <c r="D9" i="14"/>
  <c r="D13" i="13"/>
  <c r="D15" i="13" s="1"/>
  <c r="E13" i="13"/>
  <c r="E15" i="13" s="1"/>
  <c r="C13" i="13"/>
  <c r="C15" i="13" s="1"/>
  <c r="C12" i="16"/>
  <c r="C12" i="14"/>
  <c r="E17" i="13"/>
  <c r="D17" i="13"/>
  <c r="C17" i="13"/>
  <c r="C11" i="14"/>
  <c r="H15" i="18" l="1"/>
  <c r="J8" i="18"/>
  <c r="J10" i="18"/>
  <c r="K12" i="18"/>
  <c r="L11" i="18"/>
  <c r="J11" i="18"/>
  <c r="K8" i="18"/>
  <c r="K14" i="18" s="1"/>
  <c r="K10" i="18"/>
  <c r="L10" i="18"/>
  <c r="J12" i="18"/>
  <c r="J9" i="18"/>
  <c r="L8" i="18"/>
  <c r="L9" i="18"/>
  <c r="K9" i="18"/>
  <c r="K11" i="18"/>
  <c r="L12" i="18"/>
  <c r="B20" i="15"/>
  <c r="D20" i="15" s="1"/>
  <c r="B19" i="15"/>
  <c r="D19" i="15" s="1"/>
  <c r="B18" i="15"/>
  <c r="D18" i="15" s="1"/>
  <c r="F13" i="15"/>
  <c r="E13" i="15"/>
  <c r="E14" i="15" s="1"/>
  <c r="D13" i="15"/>
  <c r="D14" i="15" s="1"/>
  <c r="C13" i="15"/>
  <c r="C14" i="15" s="1"/>
  <c r="C267" i="14"/>
  <c r="C269" i="14"/>
  <c r="C268" i="14"/>
  <c r="C34" i="14"/>
  <c r="C106" i="14"/>
  <c r="C162" i="14"/>
  <c r="C202" i="14"/>
  <c r="C218" i="14"/>
  <c r="C242" i="14"/>
  <c r="C258" i="14"/>
  <c r="C43" i="14"/>
  <c r="C67" i="14"/>
  <c r="C75" i="14"/>
  <c r="C91" i="14"/>
  <c r="C99" i="14"/>
  <c r="C115" i="14"/>
  <c r="C131" i="14"/>
  <c r="C155" i="14"/>
  <c r="C171" i="14"/>
  <c r="C187" i="14"/>
  <c r="C203" i="14"/>
  <c r="C219" i="14"/>
  <c r="C235" i="14"/>
  <c r="C251" i="14"/>
  <c r="C124" i="14"/>
  <c r="C148" i="14"/>
  <c r="C180" i="14"/>
  <c r="C204" i="14"/>
  <c r="C236" i="14"/>
  <c r="C29" i="14"/>
  <c r="C93" i="14"/>
  <c r="C133" i="14"/>
  <c r="C165" i="14"/>
  <c r="C197" i="14"/>
  <c r="C229" i="14"/>
  <c r="C30" i="14"/>
  <c r="C62" i="14"/>
  <c r="C94" i="14"/>
  <c r="C126" i="14"/>
  <c r="C158" i="14"/>
  <c r="C190" i="14"/>
  <c r="C214" i="14"/>
  <c r="C246" i="14"/>
  <c r="C262" i="14"/>
  <c r="C55" i="14"/>
  <c r="C87" i="14"/>
  <c r="C103" i="14"/>
  <c r="C135" i="14"/>
  <c r="C159" i="14"/>
  <c r="C191" i="14"/>
  <c r="C207" i="14"/>
  <c r="C231" i="14"/>
  <c r="C255" i="14"/>
  <c r="C27" i="14"/>
  <c r="C147" i="14"/>
  <c r="C172" i="14"/>
  <c r="C212" i="14"/>
  <c r="C244" i="14"/>
  <c r="C45" i="14"/>
  <c r="C69" i="14"/>
  <c r="C101" i="14"/>
  <c r="C125" i="14"/>
  <c r="C157" i="14"/>
  <c r="C181" i="14"/>
  <c r="C213" i="14"/>
  <c r="C245" i="14"/>
  <c r="C46" i="14"/>
  <c r="C70" i="14"/>
  <c r="C102" i="14"/>
  <c r="C134" i="14"/>
  <c r="C166" i="14"/>
  <c r="C206" i="14"/>
  <c r="C238" i="14"/>
  <c r="C39" i="14"/>
  <c r="C79" i="14"/>
  <c r="C111" i="14"/>
  <c r="C151" i="14"/>
  <c r="C175" i="14"/>
  <c r="C199" i="14"/>
  <c r="C239" i="14"/>
  <c r="C266" i="14"/>
  <c r="C28" i="14"/>
  <c r="C36" i="14"/>
  <c r="C44" i="14"/>
  <c r="C52" i="14"/>
  <c r="C60" i="14"/>
  <c r="C68" i="14"/>
  <c r="C76" i="14"/>
  <c r="C84" i="14"/>
  <c r="C92" i="14"/>
  <c r="C100" i="14"/>
  <c r="C108" i="14"/>
  <c r="C116" i="14"/>
  <c r="C140" i="14"/>
  <c r="C156" i="14"/>
  <c r="C188" i="14"/>
  <c r="C220" i="14"/>
  <c r="C260" i="14"/>
  <c r="C53" i="14"/>
  <c r="C61" i="14"/>
  <c r="C85" i="14"/>
  <c r="C109" i="14"/>
  <c r="C141" i="14"/>
  <c r="C189" i="14"/>
  <c r="C221" i="14"/>
  <c r="C253" i="14"/>
  <c r="C38" i="14"/>
  <c r="C78" i="14"/>
  <c r="C110" i="14"/>
  <c r="C142" i="14"/>
  <c r="C174" i="14"/>
  <c r="C198" i="14"/>
  <c r="C230" i="14"/>
  <c r="C31" i="14"/>
  <c r="C71" i="14"/>
  <c r="C119" i="14"/>
  <c r="C143" i="14"/>
  <c r="C183" i="14"/>
  <c r="C215" i="14"/>
  <c r="C247" i="14"/>
  <c r="C21" i="14"/>
  <c r="C22" i="14"/>
  <c r="C23" i="14"/>
  <c r="C24" i="14"/>
  <c r="C32" i="14"/>
  <c r="C40" i="14"/>
  <c r="C48" i="14"/>
  <c r="C56" i="14"/>
  <c r="C64" i="14"/>
  <c r="C72" i="14"/>
  <c r="C80" i="14"/>
  <c r="C88" i="14"/>
  <c r="C96" i="14"/>
  <c r="C104" i="14"/>
  <c r="C112" i="14"/>
  <c r="C120" i="14"/>
  <c r="C128" i="14"/>
  <c r="C136" i="14"/>
  <c r="C144" i="14"/>
  <c r="C152" i="14"/>
  <c r="C160" i="14"/>
  <c r="C168" i="14"/>
  <c r="C176" i="14"/>
  <c r="C184" i="14"/>
  <c r="C192" i="14"/>
  <c r="C200" i="14"/>
  <c r="C208" i="14"/>
  <c r="C216" i="14"/>
  <c r="C224" i="14"/>
  <c r="C232" i="14"/>
  <c r="C240" i="14"/>
  <c r="C248" i="14"/>
  <c r="C256" i="14"/>
  <c r="C264" i="14"/>
  <c r="C33" i="14"/>
  <c r="C41" i="14"/>
  <c r="C49" i="14"/>
  <c r="C57" i="14"/>
  <c r="C65" i="14"/>
  <c r="C73" i="14"/>
  <c r="C81" i="14"/>
  <c r="C89" i="14"/>
  <c r="C97" i="14"/>
  <c r="C105" i="14"/>
  <c r="C113" i="14"/>
  <c r="C121" i="14"/>
  <c r="C129" i="14"/>
  <c r="C137" i="14"/>
  <c r="C145" i="14"/>
  <c r="C153" i="14"/>
  <c r="C161" i="14"/>
  <c r="C169" i="14"/>
  <c r="C177" i="14"/>
  <c r="C185" i="14"/>
  <c r="C193" i="14"/>
  <c r="C201" i="14"/>
  <c r="C209" i="14"/>
  <c r="C217" i="14"/>
  <c r="C225" i="14"/>
  <c r="C233" i="14"/>
  <c r="C241" i="14"/>
  <c r="C249" i="14"/>
  <c r="C257" i="14"/>
  <c r="C265" i="14"/>
  <c r="C26" i="14"/>
  <c r="C42" i="14"/>
  <c r="C50" i="14"/>
  <c r="C58" i="14"/>
  <c r="C66" i="14"/>
  <c r="C74" i="14"/>
  <c r="C82" i="14"/>
  <c r="C90" i="14"/>
  <c r="C98" i="14"/>
  <c r="C114" i="14"/>
  <c r="C122" i="14"/>
  <c r="C130" i="14"/>
  <c r="C138" i="14"/>
  <c r="C146" i="14"/>
  <c r="C154" i="14"/>
  <c r="C170" i="14"/>
  <c r="C178" i="14"/>
  <c r="C186" i="14"/>
  <c r="C194" i="14"/>
  <c r="C210" i="14"/>
  <c r="C226" i="14"/>
  <c r="C234" i="14"/>
  <c r="C250" i="14"/>
  <c r="C35" i="14"/>
  <c r="C25" i="14"/>
  <c r="C59" i="14"/>
  <c r="C83" i="14"/>
  <c r="C107" i="14"/>
  <c r="C123" i="14"/>
  <c r="C139" i="14"/>
  <c r="C163" i="14"/>
  <c r="C179" i="14"/>
  <c r="C195" i="14"/>
  <c r="C211" i="14"/>
  <c r="C227" i="14"/>
  <c r="C243" i="14"/>
  <c r="C259" i="14"/>
  <c r="C132" i="14"/>
  <c r="C164" i="14"/>
  <c r="C196" i="14"/>
  <c r="C228" i="14"/>
  <c r="C252" i="14"/>
  <c r="C37" i="14"/>
  <c r="C77" i="14"/>
  <c r="C117" i="14"/>
  <c r="C149" i="14"/>
  <c r="C173" i="14"/>
  <c r="C205" i="14"/>
  <c r="C237" i="14"/>
  <c r="C261" i="14"/>
  <c r="C54" i="14"/>
  <c r="C86" i="14"/>
  <c r="C118" i="14"/>
  <c r="C150" i="14"/>
  <c r="C182" i="14"/>
  <c r="C222" i="14"/>
  <c r="C254" i="14"/>
  <c r="C47" i="14"/>
  <c r="C63" i="14"/>
  <c r="C95" i="14"/>
  <c r="C127" i="14"/>
  <c r="C167" i="14"/>
  <c r="C223" i="14"/>
  <c r="C263" i="14"/>
  <c r="C51" i="14"/>
  <c r="C17" i="14"/>
  <c r="C19" i="14"/>
  <c r="C15" i="14"/>
  <c r="E15" i="14" s="1"/>
  <c r="C16" i="14"/>
  <c r="C18" i="14"/>
  <c r="C20" i="14"/>
  <c r="H9" i="7"/>
  <c r="D12" i="11"/>
  <c r="C14" i="12"/>
  <c r="C12" i="7"/>
  <c r="C12" i="11"/>
  <c r="J14" i="18" l="1"/>
  <c r="F15" i="14"/>
  <c r="D16" i="14" s="1"/>
  <c r="E16" i="14" s="1"/>
  <c r="F16" i="14" s="1"/>
  <c r="D17" i="14" s="1"/>
  <c r="E17" i="14" s="1"/>
  <c r="G6" i="11"/>
  <c r="F17" i="14" l="1"/>
  <c r="D18" i="14" s="1"/>
  <c r="E18" i="14" s="1"/>
  <c r="F18" i="14" s="1"/>
  <c r="D19" i="14" s="1"/>
  <c r="E19" i="14" s="1"/>
  <c r="I7" i="7"/>
  <c r="H7" i="7"/>
  <c r="I8" i="7"/>
  <c r="J8" i="7" s="1"/>
  <c r="K8" i="7" s="1"/>
  <c r="I9" i="7"/>
  <c r="J9" i="7" s="1"/>
  <c r="H8" i="7"/>
  <c r="C13" i="7"/>
  <c r="C12" i="10"/>
  <c r="C12" i="8"/>
  <c r="C12" i="9"/>
  <c r="J7" i="7" l="1"/>
  <c r="K7" i="7" s="1"/>
  <c r="F19" i="14"/>
  <c r="D20" i="14" s="1"/>
  <c r="E20" i="14" s="1"/>
  <c r="K9" i="7"/>
  <c r="K11" i="7" s="1"/>
  <c r="F6" i="10"/>
  <c r="F6" i="9"/>
  <c r="G6" i="8"/>
  <c r="J11" i="7" l="1"/>
  <c r="J13" i="7" s="1"/>
  <c r="F20" i="14"/>
  <c r="D21" i="14" s="1"/>
  <c r="E21" i="14" s="1"/>
  <c r="F21" i="14" s="1"/>
  <c r="D22" i="14" s="1"/>
  <c r="E22" i="14" s="1"/>
  <c r="F22" i="14" s="1"/>
  <c r="D23" i="14" s="1"/>
  <c r="E23" i="14" s="1"/>
  <c r="C12" i="5"/>
  <c r="C14" i="2"/>
  <c r="C12" i="6"/>
  <c r="G6" i="3"/>
  <c r="C12" i="3"/>
  <c r="C12" i="4"/>
  <c r="F23" i="14" l="1"/>
  <c r="D24" i="14" s="1"/>
  <c r="E24" i="14" s="1"/>
  <c r="G6" i="6"/>
  <c r="G6" i="5"/>
  <c r="H6" i="4"/>
  <c r="F24" i="14" l="1"/>
  <c r="D25" i="14" s="1"/>
  <c r="E25" i="14" s="1"/>
  <c r="C12" i="2"/>
  <c r="C7" i="2"/>
  <c r="C9" i="2"/>
  <c r="D21" i="2"/>
  <c r="E21" i="2"/>
  <c r="C21" i="2"/>
  <c r="E18" i="2"/>
  <c r="D17" i="2"/>
  <c r="D19" i="2" s="1"/>
  <c r="E17" i="2"/>
  <c r="C17" i="2"/>
  <c r="C19" i="2" s="1"/>
  <c r="F25" i="14" l="1"/>
  <c r="D26" i="14" s="1"/>
  <c r="E26" i="14" s="1"/>
  <c r="D22" i="2"/>
  <c r="C10" i="2"/>
  <c r="C13" i="2" s="1"/>
  <c r="E19" i="2"/>
  <c r="E22" i="2" s="1"/>
  <c r="C22" i="2"/>
  <c r="B23" i="2" s="1"/>
  <c r="F26" i="14" l="1"/>
  <c r="D27" i="14" s="1"/>
  <c r="E27" i="14" s="1"/>
  <c r="F27" i="14" l="1"/>
  <c r="D28" i="14" s="1"/>
  <c r="E28" i="14" s="1"/>
  <c r="F28" i="14" s="1"/>
  <c r="D29" i="14" s="1"/>
  <c r="E29" i="14" s="1"/>
  <c r="F29" i="14" s="1"/>
  <c r="D30" i="14" s="1"/>
  <c r="E30" i="14" s="1"/>
  <c r="F30" i="14" s="1"/>
  <c r="D31" i="14" s="1"/>
  <c r="E31" i="14" s="1"/>
  <c r="F31" i="14" s="1"/>
  <c r="D32" i="14" s="1"/>
  <c r="E32" i="14" s="1"/>
  <c r="F32" i="14" s="1"/>
  <c r="D33" i="14" s="1"/>
  <c r="E33" i="14" s="1"/>
  <c r="F33" i="14" s="1"/>
  <c r="D34" i="14" s="1"/>
  <c r="E34" i="14" s="1"/>
  <c r="F34" i="14" s="1"/>
  <c r="D35" i="14" s="1"/>
  <c r="E35" i="14" s="1"/>
  <c r="F35" i="14" s="1"/>
  <c r="D36" i="14" s="1"/>
  <c r="E36" i="14" s="1"/>
  <c r="F36" i="14" s="1"/>
  <c r="D37" i="14" s="1"/>
  <c r="E37" i="14" s="1"/>
  <c r="F37" i="14" s="1"/>
  <c r="D38" i="14" s="1"/>
  <c r="E38" i="14" s="1"/>
  <c r="F38" i="14" s="1"/>
  <c r="D39" i="14" s="1"/>
  <c r="E39" i="14" s="1"/>
  <c r="F39" i="14" s="1"/>
  <c r="D40" i="14" s="1"/>
  <c r="E40" i="14" s="1"/>
  <c r="F40" i="14" s="1"/>
  <c r="D41" i="14" s="1"/>
  <c r="E41" i="14" s="1"/>
  <c r="F41" i="14" s="1"/>
  <c r="D42" i="14" s="1"/>
  <c r="E42" i="14" s="1"/>
  <c r="F42" i="14" s="1"/>
  <c r="D43" i="14" s="1"/>
  <c r="E43" i="14" s="1"/>
  <c r="F43" i="14" s="1"/>
  <c r="D44" i="14" s="1"/>
  <c r="E44" i="14" s="1"/>
  <c r="F44" i="14" s="1"/>
  <c r="D45" i="14" s="1"/>
  <c r="E45" i="14" s="1"/>
  <c r="F45" i="14" s="1"/>
  <c r="D46" i="14" s="1"/>
  <c r="E46" i="14" s="1"/>
  <c r="F46" i="14" s="1"/>
  <c r="D47" i="14" s="1"/>
  <c r="E47" i="14" s="1"/>
  <c r="F47" i="14" s="1"/>
  <c r="D48" i="14" s="1"/>
  <c r="E48" i="14" s="1"/>
  <c r="F48" i="14" s="1"/>
  <c r="D49" i="14" s="1"/>
  <c r="E49" i="14" s="1"/>
  <c r="F49" i="14" s="1"/>
  <c r="D50" i="14" s="1"/>
  <c r="E50" i="14" s="1"/>
  <c r="F50" i="14" s="1"/>
  <c r="D51" i="14" s="1"/>
  <c r="E51" i="14" s="1"/>
  <c r="F51" i="14" s="1"/>
  <c r="D52" i="14" s="1"/>
  <c r="E52" i="14" s="1"/>
  <c r="F52" i="14" s="1"/>
  <c r="D53" i="14" s="1"/>
  <c r="E53" i="14" s="1"/>
  <c r="F53" i="14" s="1"/>
  <c r="D54" i="14" s="1"/>
  <c r="E54" i="14" s="1"/>
  <c r="F54" i="14" s="1"/>
  <c r="D55" i="14" s="1"/>
  <c r="E55" i="14" s="1"/>
  <c r="F55" i="14" s="1"/>
  <c r="D56" i="14" s="1"/>
  <c r="E56" i="14" s="1"/>
  <c r="F56" i="14" s="1"/>
  <c r="D57" i="14" s="1"/>
  <c r="E57" i="14" s="1"/>
  <c r="F57" i="14" s="1"/>
  <c r="D58" i="14" s="1"/>
  <c r="E58" i="14" s="1"/>
  <c r="F58" i="14" s="1"/>
  <c r="D59" i="14" s="1"/>
  <c r="E59" i="14" s="1"/>
  <c r="F59" i="14" s="1"/>
  <c r="D60" i="14" s="1"/>
  <c r="E60" i="14" s="1"/>
  <c r="F60" i="14" s="1"/>
  <c r="D61" i="14" s="1"/>
  <c r="E61" i="14" s="1"/>
  <c r="F61" i="14" s="1"/>
  <c r="D62" i="14" s="1"/>
  <c r="E62" i="14" s="1"/>
  <c r="F62" i="14" s="1"/>
  <c r="D63" i="14" s="1"/>
  <c r="E63" i="14" s="1"/>
  <c r="F63" i="14" s="1"/>
  <c r="D64" i="14" s="1"/>
  <c r="E64" i="14" s="1"/>
  <c r="F64" i="14" s="1"/>
  <c r="D65" i="14" s="1"/>
  <c r="E65" i="14" s="1"/>
  <c r="F65" i="14" s="1"/>
  <c r="D66" i="14" s="1"/>
  <c r="E66" i="14" s="1"/>
  <c r="F66" i="14" s="1"/>
  <c r="D67" i="14" s="1"/>
  <c r="E67" i="14" s="1"/>
  <c r="F67" i="14" s="1"/>
  <c r="D68" i="14" s="1"/>
  <c r="E68" i="14" s="1"/>
  <c r="F68" i="14" s="1"/>
  <c r="D69" i="14" s="1"/>
  <c r="E69" i="14" s="1"/>
  <c r="F69" i="14" s="1"/>
  <c r="D70" i="14" s="1"/>
  <c r="E70" i="14" s="1"/>
  <c r="F70" i="14" s="1"/>
  <c r="D71" i="14" s="1"/>
  <c r="E71" i="14" s="1"/>
  <c r="F71" i="14" s="1"/>
  <c r="D72" i="14" s="1"/>
  <c r="E72" i="14" s="1"/>
  <c r="F72" i="14" s="1"/>
  <c r="D73" i="14" s="1"/>
  <c r="E73" i="14" s="1"/>
  <c r="F73" i="14" s="1"/>
  <c r="D74" i="14" s="1"/>
  <c r="E74" i="14" s="1"/>
  <c r="F74" i="14" s="1"/>
  <c r="D75" i="14" s="1"/>
  <c r="E75" i="14" s="1"/>
  <c r="F75" i="14" s="1"/>
  <c r="D76" i="14" s="1"/>
  <c r="E76" i="14" s="1"/>
  <c r="F76" i="14" s="1"/>
  <c r="D77" i="14" s="1"/>
  <c r="E77" i="14" s="1"/>
  <c r="F77" i="14" s="1"/>
  <c r="D78" i="14" s="1"/>
  <c r="E78" i="14" s="1"/>
  <c r="F78" i="14" s="1"/>
  <c r="D79" i="14" s="1"/>
  <c r="E79" i="14" s="1"/>
  <c r="F79" i="14" s="1"/>
  <c r="D80" i="14" s="1"/>
  <c r="E80" i="14" s="1"/>
  <c r="F80" i="14" s="1"/>
  <c r="D81" i="14" s="1"/>
  <c r="E81" i="14" s="1"/>
  <c r="F81" i="14" s="1"/>
  <c r="D82" i="14" s="1"/>
  <c r="E82" i="14" s="1"/>
  <c r="F82" i="14" s="1"/>
  <c r="D83" i="14" s="1"/>
  <c r="E83" i="14" s="1"/>
  <c r="F83" i="14" s="1"/>
  <c r="D84" i="14" s="1"/>
  <c r="E84" i="14" s="1"/>
  <c r="F84" i="14" s="1"/>
  <c r="D85" i="14" s="1"/>
  <c r="E85" i="14" s="1"/>
  <c r="F85" i="14" s="1"/>
  <c r="D86" i="14" s="1"/>
  <c r="E86" i="14" s="1"/>
  <c r="F86" i="14" s="1"/>
  <c r="D87" i="14" s="1"/>
  <c r="E87" i="14" s="1"/>
  <c r="F87" i="14" s="1"/>
  <c r="D88" i="14" s="1"/>
  <c r="E88" i="14" s="1"/>
  <c r="F88" i="14" s="1"/>
  <c r="D89" i="14" s="1"/>
  <c r="E89" i="14" s="1"/>
  <c r="F89" i="14" s="1"/>
  <c r="D90" i="14" s="1"/>
  <c r="E90" i="14" s="1"/>
  <c r="F90" i="14" s="1"/>
  <c r="D91" i="14" s="1"/>
  <c r="E91" i="14" s="1"/>
  <c r="F91" i="14" s="1"/>
  <c r="D92" i="14" s="1"/>
  <c r="E92" i="14" s="1"/>
  <c r="F92" i="14" s="1"/>
  <c r="D93" i="14" s="1"/>
  <c r="E93" i="14" s="1"/>
  <c r="F93" i="14" s="1"/>
  <c r="D94" i="14" s="1"/>
  <c r="E94" i="14" s="1"/>
  <c r="F94" i="14" s="1"/>
  <c r="D95" i="14" s="1"/>
  <c r="E95" i="14" s="1"/>
  <c r="F95" i="14" s="1"/>
  <c r="D96" i="14" s="1"/>
  <c r="E96" i="14" s="1"/>
  <c r="F96" i="14" s="1"/>
  <c r="D97" i="14" s="1"/>
  <c r="E97" i="14" s="1"/>
  <c r="F97" i="14" s="1"/>
  <c r="D98" i="14" s="1"/>
  <c r="E98" i="14" s="1"/>
  <c r="F98" i="14" s="1"/>
  <c r="D99" i="14" s="1"/>
  <c r="E99" i="14" s="1"/>
  <c r="F99" i="14" s="1"/>
  <c r="D100" i="14" s="1"/>
  <c r="E100" i="14" s="1"/>
  <c r="F100" i="14" s="1"/>
  <c r="D101" i="14" s="1"/>
  <c r="E101" i="14" s="1"/>
  <c r="F101" i="14" s="1"/>
  <c r="D102" i="14" s="1"/>
  <c r="E102" i="14" s="1"/>
  <c r="F102" i="14" s="1"/>
  <c r="D103" i="14" s="1"/>
  <c r="E103" i="14" s="1"/>
  <c r="F103" i="14" s="1"/>
  <c r="D104" i="14" s="1"/>
  <c r="E104" i="14" s="1"/>
  <c r="F104" i="14" s="1"/>
  <c r="D105" i="14" s="1"/>
  <c r="E105" i="14" s="1"/>
  <c r="F105" i="14" s="1"/>
  <c r="D106" i="14" s="1"/>
  <c r="E106" i="14" s="1"/>
  <c r="F106" i="14" s="1"/>
  <c r="D107" i="14" s="1"/>
  <c r="E107" i="14" s="1"/>
  <c r="F107" i="14" s="1"/>
  <c r="D108" i="14" s="1"/>
  <c r="E108" i="14" s="1"/>
  <c r="F108" i="14" s="1"/>
  <c r="D109" i="14" s="1"/>
  <c r="E109" i="14" s="1"/>
  <c r="F109" i="14" s="1"/>
  <c r="D110" i="14" s="1"/>
  <c r="E110" i="14" s="1"/>
  <c r="F110" i="14" s="1"/>
  <c r="D111" i="14" s="1"/>
  <c r="E111" i="14" s="1"/>
  <c r="F111" i="14" s="1"/>
  <c r="D112" i="14" s="1"/>
  <c r="E112" i="14" s="1"/>
  <c r="F112" i="14" s="1"/>
  <c r="D113" i="14" s="1"/>
  <c r="E113" i="14" s="1"/>
  <c r="F113" i="14" s="1"/>
  <c r="D114" i="14" s="1"/>
  <c r="E114" i="14" s="1"/>
  <c r="F114" i="14" s="1"/>
  <c r="D115" i="14" s="1"/>
  <c r="E115" i="14" s="1"/>
  <c r="F115" i="14" s="1"/>
  <c r="D116" i="14" s="1"/>
  <c r="E116" i="14" s="1"/>
  <c r="F116" i="14" s="1"/>
  <c r="D117" i="14" s="1"/>
  <c r="E117" i="14" s="1"/>
  <c r="F117" i="14" s="1"/>
  <c r="D118" i="14" s="1"/>
  <c r="E118" i="14" s="1"/>
  <c r="F118" i="14" s="1"/>
  <c r="D119" i="14" s="1"/>
  <c r="E119" i="14" s="1"/>
  <c r="F119" i="14" s="1"/>
  <c r="D120" i="14" s="1"/>
  <c r="E120" i="14" s="1"/>
  <c r="F120" i="14" s="1"/>
  <c r="D121" i="14" s="1"/>
  <c r="E121" i="14" s="1"/>
  <c r="F121" i="14" s="1"/>
  <c r="D122" i="14" s="1"/>
  <c r="E122" i="14" s="1"/>
  <c r="F122" i="14" s="1"/>
  <c r="D123" i="14" s="1"/>
  <c r="E123" i="14" s="1"/>
  <c r="F123" i="14" s="1"/>
  <c r="D124" i="14" s="1"/>
  <c r="E124" i="14" s="1"/>
  <c r="F124" i="14" s="1"/>
  <c r="D125" i="14" s="1"/>
  <c r="E125" i="14" s="1"/>
  <c r="F125" i="14" s="1"/>
  <c r="D126" i="14" s="1"/>
  <c r="E126" i="14" s="1"/>
  <c r="F126" i="14" s="1"/>
  <c r="D127" i="14" s="1"/>
  <c r="E127" i="14" s="1"/>
  <c r="F127" i="14" s="1"/>
  <c r="D128" i="14" s="1"/>
  <c r="E128" i="14" s="1"/>
  <c r="F128" i="14" s="1"/>
  <c r="D129" i="14" s="1"/>
  <c r="E129" i="14" s="1"/>
  <c r="F129" i="14" s="1"/>
  <c r="D130" i="14" s="1"/>
  <c r="E130" i="14" s="1"/>
  <c r="F130" i="14" s="1"/>
  <c r="D131" i="14" s="1"/>
  <c r="E131" i="14" s="1"/>
  <c r="F131" i="14" s="1"/>
  <c r="D132" i="14" s="1"/>
  <c r="E132" i="14" s="1"/>
  <c r="F132" i="14" s="1"/>
  <c r="D133" i="14" s="1"/>
  <c r="E133" i="14" s="1"/>
  <c r="F133" i="14" s="1"/>
  <c r="D134" i="14" s="1"/>
  <c r="E134" i="14" s="1"/>
  <c r="F134" i="14" s="1"/>
  <c r="D135" i="14" s="1"/>
  <c r="E135" i="14" s="1"/>
  <c r="F135" i="14" s="1"/>
  <c r="D136" i="14" s="1"/>
  <c r="E136" i="14" s="1"/>
  <c r="F136" i="14" s="1"/>
  <c r="D137" i="14" s="1"/>
  <c r="E137" i="14" s="1"/>
  <c r="F137" i="14" s="1"/>
  <c r="D138" i="14" s="1"/>
  <c r="E138" i="14" s="1"/>
  <c r="F138" i="14" s="1"/>
  <c r="D139" i="14" s="1"/>
  <c r="E139" i="14" s="1"/>
  <c r="F139" i="14" s="1"/>
  <c r="D140" i="14" s="1"/>
  <c r="E140" i="14" s="1"/>
  <c r="F140" i="14" s="1"/>
  <c r="D141" i="14" s="1"/>
  <c r="E141" i="14" s="1"/>
  <c r="F141" i="14" s="1"/>
  <c r="D142" i="14" s="1"/>
  <c r="E142" i="14" s="1"/>
  <c r="F142" i="14" s="1"/>
  <c r="D143" i="14" s="1"/>
  <c r="E143" i="14" s="1"/>
  <c r="F143" i="14" s="1"/>
  <c r="D144" i="14" s="1"/>
  <c r="E144" i="14" s="1"/>
  <c r="F144" i="14" s="1"/>
  <c r="D145" i="14" s="1"/>
  <c r="E145" i="14" s="1"/>
  <c r="F145" i="14" s="1"/>
  <c r="D146" i="14" s="1"/>
  <c r="E146" i="14" s="1"/>
  <c r="F146" i="14" s="1"/>
  <c r="D147" i="14" s="1"/>
  <c r="E147" i="14" s="1"/>
  <c r="F147" i="14" s="1"/>
  <c r="D148" i="14" s="1"/>
  <c r="E148" i="14" s="1"/>
  <c r="F148" i="14" s="1"/>
  <c r="D149" i="14" s="1"/>
  <c r="E149" i="14" s="1"/>
  <c r="F149" i="14" s="1"/>
  <c r="D150" i="14" s="1"/>
  <c r="E150" i="14" s="1"/>
  <c r="F150" i="14" s="1"/>
  <c r="D151" i="14" s="1"/>
  <c r="E151" i="14" s="1"/>
  <c r="F151" i="14" s="1"/>
  <c r="D152" i="14" s="1"/>
  <c r="E152" i="14" s="1"/>
  <c r="F152" i="14" s="1"/>
  <c r="D153" i="14" s="1"/>
  <c r="E153" i="14" s="1"/>
  <c r="F153" i="14" s="1"/>
  <c r="D154" i="14" s="1"/>
  <c r="E154" i="14" s="1"/>
  <c r="F154" i="14" s="1"/>
  <c r="D155" i="14" s="1"/>
  <c r="E155" i="14" s="1"/>
  <c r="F155" i="14" s="1"/>
  <c r="D156" i="14" s="1"/>
  <c r="E156" i="14" s="1"/>
  <c r="F156" i="14" s="1"/>
  <c r="D157" i="14" s="1"/>
  <c r="E157" i="14" s="1"/>
  <c r="F157" i="14" s="1"/>
  <c r="D158" i="14" s="1"/>
  <c r="E158" i="14" s="1"/>
  <c r="F158" i="14" s="1"/>
  <c r="D159" i="14" s="1"/>
  <c r="E159" i="14" s="1"/>
  <c r="F159" i="14" s="1"/>
  <c r="D160" i="14" s="1"/>
  <c r="E160" i="14" s="1"/>
  <c r="F160" i="14" s="1"/>
  <c r="D161" i="14" s="1"/>
  <c r="E161" i="14" s="1"/>
  <c r="F161" i="14" s="1"/>
  <c r="D162" i="14" s="1"/>
  <c r="E162" i="14" s="1"/>
  <c r="F162" i="14" s="1"/>
  <c r="D163" i="14" s="1"/>
  <c r="E163" i="14" s="1"/>
  <c r="F163" i="14" s="1"/>
  <c r="D164" i="14" s="1"/>
  <c r="E164" i="14" s="1"/>
  <c r="F164" i="14" s="1"/>
  <c r="D165" i="14" s="1"/>
  <c r="E165" i="14" s="1"/>
  <c r="F165" i="14" s="1"/>
  <c r="D166" i="14" s="1"/>
  <c r="E166" i="14" s="1"/>
  <c r="F166" i="14" s="1"/>
  <c r="D167" i="14" s="1"/>
  <c r="E167" i="14" s="1"/>
  <c r="F167" i="14" s="1"/>
  <c r="D168" i="14" s="1"/>
  <c r="E168" i="14" s="1"/>
  <c r="F168" i="14" s="1"/>
  <c r="D169" i="14" s="1"/>
  <c r="E169" i="14" s="1"/>
  <c r="F169" i="14" s="1"/>
  <c r="D170" i="14" s="1"/>
  <c r="E170" i="14" s="1"/>
  <c r="F170" i="14" s="1"/>
  <c r="D171" i="14" s="1"/>
  <c r="E171" i="14" s="1"/>
  <c r="F171" i="14" s="1"/>
  <c r="D172" i="14" s="1"/>
  <c r="E172" i="14" s="1"/>
  <c r="F172" i="14" s="1"/>
  <c r="D173" i="14" s="1"/>
  <c r="E173" i="14" s="1"/>
  <c r="F173" i="14" s="1"/>
  <c r="D174" i="14" s="1"/>
  <c r="E174" i="14" s="1"/>
  <c r="F174" i="14" s="1"/>
  <c r="D175" i="14" s="1"/>
  <c r="E175" i="14" s="1"/>
  <c r="F175" i="14" s="1"/>
  <c r="D176" i="14" s="1"/>
  <c r="E176" i="14" s="1"/>
  <c r="F176" i="14" s="1"/>
  <c r="D177" i="14" s="1"/>
  <c r="E177" i="14" s="1"/>
  <c r="F177" i="14" s="1"/>
  <c r="D178" i="14" s="1"/>
  <c r="E178" i="14" s="1"/>
  <c r="F178" i="14" s="1"/>
  <c r="D179" i="14" s="1"/>
  <c r="E179" i="14" s="1"/>
  <c r="F179" i="14" s="1"/>
  <c r="D180" i="14" s="1"/>
  <c r="E180" i="14" s="1"/>
  <c r="F180" i="14" s="1"/>
  <c r="D181" i="14" s="1"/>
  <c r="E181" i="14" s="1"/>
  <c r="F181" i="14" s="1"/>
  <c r="D182" i="14" s="1"/>
  <c r="E182" i="14" s="1"/>
  <c r="F182" i="14" s="1"/>
  <c r="D183" i="14" s="1"/>
  <c r="E183" i="14" s="1"/>
  <c r="F183" i="14" s="1"/>
  <c r="D184" i="14" s="1"/>
  <c r="E184" i="14" s="1"/>
  <c r="F184" i="14" s="1"/>
  <c r="D185" i="14" s="1"/>
  <c r="E185" i="14" s="1"/>
  <c r="F185" i="14" s="1"/>
  <c r="D186" i="14" s="1"/>
  <c r="E186" i="14" s="1"/>
  <c r="F186" i="14" s="1"/>
  <c r="D187" i="14" s="1"/>
  <c r="E187" i="14" s="1"/>
  <c r="F187" i="14" s="1"/>
  <c r="D188" i="14" s="1"/>
  <c r="E188" i="14" s="1"/>
  <c r="F188" i="14" s="1"/>
  <c r="D189" i="14" s="1"/>
  <c r="E189" i="14" s="1"/>
  <c r="F189" i="14" s="1"/>
  <c r="D190" i="14" s="1"/>
  <c r="E190" i="14" s="1"/>
  <c r="F190" i="14" s="1"/>
  <c r="D191" i="14" s="1"/>
  <c r="E191" i="14" s="1"/>
  <c r="F191" i="14" s="1"/>
  <c r="D192" i="14" s="1"/>
  <c r="E192" i="14" s="1"/>
  <c r="F192" i="14" s="1"/>
  <c r="D193" i="14" s="1"/>
  <c r="E193" i="14" s="1"/>
  <c r="F193" i="14" s="1"/>
  <c r="D194" i="14" s="1"/>
  <c r="E194" i="14" s="1"/>
  <c r="F194" i="14" s="1"/>
  <c r="D195" i="14" s="1"/>
  <c r="E195" i="14" s="1"/>
  <c r="F195" i="14" s="1"/>
  <c r="D196" i="14" s="1"/>
  <c r="E196" i="14" s="1"/>
  <c r="F196" i="14" s="1"/>
  <c r="D197" i="14" s="1"/>
  <c r="E197" i="14" s="1"/>
  <c r="F197" i="14" s="1"/>
  <c r="D198" i="14" s="1"/>
  <c r="E198" i="14" s="1"/>
  <c r="F198" i="14" s="1"/>
  <c r="D199" i="14" s="1"/>
  <c r="E199" i="14" s="1"/>
  <c r="F199" i="14" s="1"/>
  <c r="D200" i="14" s="1"/>
  <c r="E200" i="14" s="1"/>
  <c r="F200" i="14" s="1"/>
  <c r="D201" i="14" s="1"/>
  <c r="E201" i="14" s="1"/>
  <c r="F201" i="14" s="1"/>
  <c r="D202" i="14" s="1"/>
  <c r="E202" i="14" s="1"/>
  <c r="F202" i="14" s="1"/>
  <c r="D203" i="14" s="1"/>
  <c r="E203" i="14" s="1"/>
  <c r="F203" i="14" s="1"/>
  <c r="D204" i="14" s="1"/>
  <c r="E204" i="14" s="1"/>
  <c r="F204" i="14" s="1"/>
  <c r="D205" i="14" s="1"/>
  <c r="E205" i="14" s="1"/>
  <c r="F205" i="14" s="1"/>
  <c r="D206" i="14" s="1"/>
  <c r="E206" i="14" s="1"/>
  <c r="F206" i="14" s="1"/>
  <c r="D207" i="14" s="1"/>
  <c r="E207" i="14" s="1"/>
  <c r="F207" i="14" s="1"/>
  <c r="D208" i="14" s="1"/>
  <c r="E208" i="14" s="1"/>
  <c r="F208" i="14" s="1"/>
  <c r="D209" i="14" s="1"/>
  <c r="E209" i="14" s="1"/>
  <c r="F209" i="14" s="1"/>
  <c r="D210" i="14" s="1"/>
  <c r="E210" i="14" s="1"/>
  <c r="F210" i="14" s="1"/>
  <c r="D211" i="14" s="1"/>
  <c r="E211" i="14" s="1"/>
  <c r="F211" i="14" s="1"/>
  <c r="D212" i="14" s="1"/>
  <c r="E212" i="14" s="1"/>
  <c r="F212" i="14" s="1"/>
  <c r="D213" i="14" s="1"/>
  <c r="E213" i="14" s="1"/>
  <c r="F213" i="14" s="1"/>
  <c r="D214" i="14" s="1"/>
  <c r="E214" i="14" s="1"/>
  <c r="F214" i="14" s="1"/>
  <c r="D215" i="14" s="1"/>
  <c r="E215" i="14" s="1"/>
  <c r="F215" i="14" s="1"/>
  <c r="D216" i="14" s="1"/>
  <c r="E216" i="14" s="1"/>
  <c r="F216" i="14" s="1"/>
  <c r="D217" i="14" s="1"/>
  <c r="E217" i="14" s="1"/>
  <c r="F217" i="14" s="1"/>
  <c r="D218" i="14" s="1"/>
  <c r="E218" i="14" s="1"/>
  <c r="F218" i="14" s="1"/>
  <c r="D219" i="14" s="1"/>
  <c r="E219" i="14" s="1"/>
  <c r="F219" i="14" s="1"/>
  <c r="D220" i="14" s="1"/>
  <c r="E220" i="14" s="1"/>
  <c r="F220" i="14" s="1"/>
  <c r="D221" i="14" s="1"/>
  <c r="E221" i="14" s="1"/>
  <c r="F221" i="14" s="1"/>
  <c r="D222" i="14" s="1"/>
  <c r="E222" i="14" s="1"/>
  <c r="F222" i="14" s="1"/>
  <c r="D223" i="14" s="1"/>
  <c r="E223" i="14" s="1"/>
  <c r="F223" i="14" s="1"/>
  <c r="D224" i="14" s="1"/>
  <c r="E224" i="14" s="1"/>
  <c r="F224" i="14" s="1"/>
  <c r="D225" i="14" s="1"/>
  <c r="E225" i="14" s="1"/>
  <c r="F225" i="14" s="1"/>
  <c r="D226" i="14" s="1"/>
  <c r="E226" i="14" s="1"/>
  <c r="F226" i="14" s="1"/>
  <c r="D227" i="14" s="1"/>
  <c r="E227" i="14" s="1"/>
  <c r="F227" i="14" s="1"/>
  <c r="D228" i="14" s="1"/>
  <c r="E228" i="14" s="1"/>
  <c r="F228" i="14" s="1"/>
  <c r="D229" i="14" s="1"/>
  <c r="E229" i="14" s="1"/>
  <c r="F229" i="14" s="1"/>
  <c r="D230" i="14" s="1"/>
  <c r="E230" i="14" s="1"/>
  <c r="F230" i="14" s="1"/>
  <c r="D231" i="14" s="1"/>
  <c r="E231" i="14" s="1"/>
  <c r="F231" i="14" s="1"/>
  <c r="D232" i="14" s="1"/>
  <c r="E232" i="14" s="1"/>
  <c r="F232" i="14" s="1"/>
  <c r="D233" i="14" s="1"/>
  <c r="E233" i="14" s="1"/>
  <c r="F233" i="14" s="1"/>
  <c r="D234" i="14" s="1"/>
  <c r="E234" i="14" s="1"/>
  <c r="F234" i="14" s="1"/>
  <c r="D235" i="14" s="1"/>
  <c r="E235" i="14" s="1"/>
  <c r="F235" i="14" s="1"/>
  <c r="D236" i="14" s="1"/>
  <c r="E236" i="14" s="1"/>
  <c r="F236" i="14" s="1"/>
  <c r="D237" i="14" s="1"/>
  <c r="E237" i="14" s="1"/>
  <c r="F237" i="14" s="1"/>
  <c r="D238" i="14" s="1"/>
  <c r="E238" i="14" s="1"/>
  <c r="F238" i="14" s="1"/>
  <c r="D239" i="14" s="1"/>
  <c r="E239" i="14" s="1"/>
  <c r="F239" i="14" s="1"/>
  <c r="D240" i="14" s="1"/>
  <c r="E240" i="14" s="1"/>
  <c r="F240" i="14" s="1"/>
  <c r="D241" i="14" s="1"/>
  <c r="E241" i="14" s="1"/>
  <c r="F241" i="14" s="1"/>
  <c r="D242" i="14" s="1"/>
  <c r="E242" i="14" s="1"/>
  <c r="F242" i="14" s="1"/>
  <c r="D243" i="14" s="1"/>
  <c r="E243" i="14" s="1"/>
  <c r="F243" i="14" s="1"/>
  <c r="D244" i="14" s="1"/>
  <c r="E244" i="14" s="1"/>
  <c r="F244" i="14" s="1"/>
  <c r="D245" i="14" s="1"/>
  <c r="E245" i="14" s="1"/>
  <c r="F245" i="14" s="1"/>
  <c r="D246" i="14" s="1"/>
  <c r="E246" i="14" s="1"/>
  <c r="F246" i="14" s="1"/>
  <c r="D247" i="14" s="1"/>
  <c r="E247" i="14" s="1"/>
  <c r="F247" i="14" s="1"/>
  <c r="D248" i="14" s="1"/>
  <c r="E248" i="14" s="1"/>
  <c r="F248" i="14" s="1"/>
  <c r="D249" i="14" s="1"/>
  <c r="E249" i="14" s="1"/>
  <c r="F249" i="14" s="1"/>
  <c r="D250" i="14" s="1"/>
  <c r="E250" i="14" s="1"/>
  <c r="F250" i="14" s="1"/>
  <c r="D251" i="14" s="1"/>
  <c r="E251" i="14" s="1"/>
  <c r="F251" i="14" s="1"/>
  <c r="D252" i="14" s="1"/>
  <c r="E252" i="14" s="1"/>
  <c r="F252" i="14" s="1"/>
  <c r="D253" i="14" s="1"/>
  <c r="E253" i="14" s="1"/>
  <c r="F253" i="14" s="1"/>
  <c r="D254" i="14" s="1"/>
  <c r="E254" i="14" s="1"/>
  <c r="F254" i="14" s="1"/>
  <c r="D255" i="14" s="1"/>
  <c r="E255" i="14" s="1"/>
  <c r="F255" i="14" s="1"/>
  <c r="D256" i="14" s="1"/>
  <c r="E256" i="14" s="1"/>
  <c r="F256" i="14" s="1"/>
  <c r="D257" i="14" s="1"/>
  <c r="E257" i="14" s="1"/>
  <c r="F257" i="14" s="1"/>
  <c r="D258" i="14" s="1"/>
  <c r="E258" i="14" s="1"/>
  <c r="F258" i="14" s="1"/>
  <c r="D259" i="14" s="1"/>
  <c r="E259" i="14" s="1"/>
  <c r="F259" i="14" s="1"/>
  <c r="D260" i="14" s="1"/>
  <c r="E260" i="14" s="1"/>
  <c r="F260" i="14" s="1"/>
  <c r="D261" i="14" s="1"/>
  <c r="E261" i="14" s="1"/>
  <c r="F261" i="14" s="1"/>
  <c r="D262" i="14" s="1"/>
  <c r="E262" i="14" s="1"/>
  <c r="F262" i="14" s="1"/>
  <c r="D263" i="14" s="1"/>
  <c r="E263" i="14" s="1"/>
  <c r="F263" i="14" s="1"/>
  <c r="D264" i="14" s="1"/>
  <c r="E264" i="14" s="1"/>
  <c r="F264" i="14" s="1"/>
  <c r="D265" i="14" s="1"/>
  <c r="E265" i="14" s="1"/>
  <c r="F265" i="14" s="1"/>
  <c r="D266" i="14" s="1"/>
  <c r="E266" i="14" s="1"/>
  <c r="F266" i="14" s="1"/>
  <c r="D267" i="14" s="1"/>
  <c r="E267" i="14" s="1"/>
  <c r="F267" i="14" s="1"/>
  <c r="D268" i="14" s="1"/>
  <c r="E268" i="14" s="1"/>
  <c r="F268" i="14" s="1"/>
  <c r="D269" i="14" s="1"/>
  <c r="E269" i="14" s="1"/>
  <c r="F269" i="14" s="1"/>
</calcChain>
</file>

<file path=xl/sharedStrings.xml><?xml version="1.0" encoding="utf-8"?>
<sst xmlns="http://schemas.openxmlformats.org/spreadsheetml/2006/main" count="312" uniqueCount="135">
  <si>
    <t>https://colab.research.google.com/drive/1LdgCflC9fg-E7sbtrcFbX3Z4MVf8dYbn?usp=sharing</t>
  </si>
  <si>
    <t>Face</t>
  </si>
  <si>
    <t>cpr</t>
  </si>
  <si>
    <t>r</t>
  </si>
  <si>
    <t>T</t>
  </si>
  <si>
    <t>coupon</t>
  </si>
  <si>
    <t>face value</t>
  </si>
  <si>
    <t>Cash flows</t>
  </si>
  <si>
    <t>Discount</t>
  </si>
  <si>
    <t>PV CF</t>
  </si>
  <si>
    <t>PV of Bond</t>
  </si>
  <si>
    <t>PV Annunity</t>
  </si>
  <si>
    <t>PV of Coupons</t>
  </si>
  <si>
    <t>PV of Face</t>
  </si>
  <si>
    <t>Annual Coupon</t>
  </si>
  <si>
    <t>VBA PV of Bond</t>
  </si>
  <si>
    <t>m</t>
  </si>
  <si>
    <t>Python Google collab</t>
  </si>
  <si>
    <t>https://colab.research.google.com/drive/1G3sg0sFyo737NztPQ6EP5EDBnwI4XXTn?usp=sharing</t>
  </si>
  <si>
    <t>Dur</t>
  </si>
  <si>
    <t>BP</t>
  </si>
  <si>
    <t>Time</t>
  </si>
  <si>
    <t>Cash Flow</t>
  </si>
  <si>
    <t>DF</t>
  </si>
  <si>
    <t>DCF</t>
  </si>
  <si>
    <t>DCF*Time</t>
  </si>
  <si>
    <t>Duration</t>
  </si>
  <si>
    <t>Cpr</t>
  </si>
  <si>
    <t>Target</t>
  </si>
  <si>
    <t>YTM</t>
  </si>
  <si>
    <t>Google collab-</t>
  </si>
  <si>
    <t>https://colab.research.google.com/drive/1qiKDIpL3ReiGcw-fuY3qUBoOK-8ShKAr?usp=sharing</t>
  </si>
  <si>
    <t>Principal (PV)</t>
  </si>
  <si>
    <t>Monthly Repayment</t>
  </si>
  <si>
    <t>??</t>
  </si>
  <si>
    <t>Sqr Brackets</t>
  </si>
  <si>
    <t>VBA</t>
  </si>
  <si>
    <t>Payment</t>
  </si>
  <si>
    <t>Interest</t>
  </si>
  <si>
    <t xml:space="preserve">Principal </t>
  </si>
  <si>
    <t>Balance</t>
  </si>
  <si>
    <t>Google Collab -</t>
  </si>
  <si>
    <t>https://colab.research.google.com/drive/15LAYOzIEyXYIIGdMEqZthDPEucSCTWct?usp=sharing</t>
  </si>
  <si>
    <t xml:space="preserve"> </t>
  </si>
  <si>
    <t>Schedule</t>
  </si>
  <si>
    <t>Google Collab-</t>
  </si>
  <si>
    <t>https://colab.research.google.com/drive/1JdsSbYtxXMrrBnTkinufIImRjCcU_P4W?usp=sharing</t>
  </si>
  <si>
    <t>d</t>
  </si>
  <si>
    <t>Maturity</t>
  </si>
  <si>
    <t>Using Linest</t>
  </si>
  <si>
    <t>Using Matrix Operation</t>
  </si>
  <si>
    <t>F</t>
  </si>
  <si>
    <t>k</t>
  </si>
  <si>
    <t>sigma</t>
  </si>
  <si>
    <t>Call Price-</t>
  </si>
  <si>
    <t>AAPL</t>
  </si>
  <si>
    <t>TSLA</t>
  </si>
  <si>
    <t>NVDA</t>
  </si>
  <si>
    <t>DIS</t>
  </si>
  <si>
    <t>MSFT</t>
  </si>
  <si>
    <t>GOOGL</t>
  </si>
  <si>
    <t>META</t>
  </si>
  <si>
    <t>AMZN</t>
  </si>
  <si>
    <t>NFLX</t>
  </si>
  <si>
    <t>JPM</t>
  </si>
  <si>
    <t>Date</t>
  </si>
  <si>
    <t>https://colab.research.google.com/drive/1WO8zQk-_Q2xVSSTy_qby0_-iMWZ6l5DT?usp=sharing</t>
  </si>
  <si>
    <t>Verification-</t>
  </si>
  <si>
    <t>https://colab.research.google.com/drive/1zjpacZxTpiwcWrIgwDvyVOHVVoMmSV1J?usp=sharing</t>
  </si>
  <si>
    <t>X</t>
  </si>
  <si>
    <t>Y</t>
  </si>
  <si>
    <t>a</t>
  </si>
  <si>
    <t>b</t>
  </si>
  <si>
    <t>Initial Seed Values</t>
  </si>
  <si>
    <t>Y fit</t>
  </si>
  <si>
    <t>?</t>
  </si>
  <si>
    <t>Error</t>
  </si>
  <si>
    <t>Error^2</t>
  </si>
  <si>
    <t>co-eff</t>
  </si>
  <si>
    <t>SE</t>
  </si>
  <si>
    <t>T-stats</t>
  </si>
  <si>
    <t>R^2</t>
  </si>
  <si>
    <t>SUMMARY OUTPUT</t>
  </si>
  <si>
    <t>Regression Statistics</t>
  </si>
  <si>
    <t>Multiple R</t>
  </si>
  <si>
    <t>R Square</t>
  </si>
  <si>
    <t>Adjusted R Square</t>
  </si>
  <si>
    <t>Standard Error</t>
  </si>
  <si>
    <t>Observations</t>
  </si>
  <si>
    <t>ANOVA</t>
  </si>
  <si>
    <t>Regression</t>
  </si>
  <si>
    <t>Residual</t>
  </si>
  <si>
    <t>Total</t>
  </si>
  <si>
    <t>Intercept</t>
  </si>
  <si>
    <t>df</t>
  </si>
  <si>
    <t>SS</t>
  </si>
  <si>
    <t>MS</t>
  </si>
  <si>
    <t>Significance F</t>
  </si>
  <si>
    <t>Coefficients</t>
  </si>
  <si>
    <t>t Stat</t>
  </si>
  <si>
    <t>P-value</t>
  </si>
  <si>
    <t>Lower 95%</t>
  </si>
  <si>
    <t>Upper 95%</t>
  </si>
  <si>
    <t>Lower 95.0%</t>
  </si>
  <si>
    <t>Upper 95.0%</t>
  </si>
  <si>
    <t>Using Solver</t>
  </si>
  <si>
    <t>Bond Price</t>
  </si>
  <si>
    <t>I</t>
  </si>
  <si>
    <t>DATE</t>
  </si>
  <si>
    <t xml:space="preserve"> FedFunds Rate</t>
  </si>
  <si>
    <t>Inflation</t>
  </si>
  <si>
    <t>Unemployment %</t>
  </si>
  <si>
    <t>Unemployment Rate</t>
  </si>
  <si>
    <t>(Without Dummy Variables)</t>
  </si>
  <si>
    <t>Unemployment</t>
  </si>
  <si>
    <t>Dummies</t>
  </si>
  <si>
    <t>(with Dummy variables)</t>
  </si>
  <si>
    <t>PV Bond</t>
  </si>
  <si>
    <t>BP vs r</t>
  </si>
  <si>
    <t>BP vs Cpr</t>
  </si>
  <si>
    <t>BP vs m</t>
  </si>
  <si>
    <t>BP vs r vs T</t>
  </si>
  <si>
    <t>Dur vs Cpr</t>
  </si>
  <si>
    <t>Dur vs m</t>
  </si>
  <si>
    <t>Dur vs r</t>
  </si>
  <si>
    <t>Hopewell Kauf</t>
  </si>
  <si>
    <t>YTM Bisection</t>
  </si>
  <si>
    <t>Mortgage</t>
  </si>
  <si>
    <t>Bootstrap</t>
  </si>
  <si>
    <t>Black 1976</t>
  </si>
  <si>
    <t>1976 vs Future</t>
  </si>
  <si>
    <t>1976 vs Sigma</t>
  </si>
  <si>
    <t>Taylor Rule</t>
  </si>
  <si>
    <t>Linest Function</t>
  </si>
  <si>
    <t>Lending Club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</si>
</sst>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0.000000"/>
    <numFmt numFmtId="165" formatCode="0.000"/>
    <numFmt numFmtId="166" formatCode="_ [$€-2]\ * #,##0.00_ ;_ [$€-2]\ * \-#,##0.00_ ;_ [$€-2]\ * &quot;-&quot;??_ ;_ @_ "/>
    <numFmt numFmtId="167" formatCode="0.0000"/>
    <numFmt numFmtId="168" formatCode="0.00000"/>
    <numFmt numFmtId="169" formatCode="yyyy\-mm\-dd"/>
  </numFmts>
  <fonts count="10" x14ac:knownFonts="1">
    <font>
      <sz val="11"/>
      <color theme="1"/>
      <name val="Calibri"/>
      <family val="2"/>
      <scheme val="minor"/>
    </font>
    <font>
      <b/>
      <sz val="11"/>
      <color theme="1"/>
      <name val="Calibri"/>
      <family val="2"/>
      <scheme val="minor"/>
    </font>
    <font>
      <u/>
      <sz val="11"/>
      <color theme="10"/>
      <name val="Calibri"/>
      <family val="2"/>
      <scheme val="minor"/>
    </font>
    <font>
      <i/>
      <sz val="11"/>
      <color theme="1"/>
      <name val="Calibri"/>
      <family val="2"/>
      <scheme val="minor"/>
    </font>
    <font>
      <i/>
      <sz val="26"/>
      <color theme="1"/>
      <name val="Calibri Light"/>
      <family val="2"/>
      <scheme val="major"/>
    </font>
    <font>
      <sz val="11"/>
      <color theme="1"/>
      <name val="Calibri"/>
      <family val="2"/>
      <scheme val="minor"/>
    </font>
    <font>
      <b/>
      <sz val="11"/>
      <color theme="1"/>
      <name val="Calibri"/>
      <family val="2"/>
    </font>
    <font>
      <sz val="11"/>
      <color theme="1"/>
      <name val="Calibri"/>
      <family val="2"/>
    </font>
    <font>
      <b/>
      <sz val="20"/>
      <color theme="1"/>
      <name val="Calibri"/>
      <family val="2"/>
      <scheme val="minor"/>
    </font>
    <font>
      <sz val="11"/>
      <color rgb="FF000000"/>
      <name val="Calibri"/>
      <family val="2"/>
    </font>
  </fonts>
  <fills count="26">
    <fill>
      <patternFill patternType="none"/>
    </fill>
    <fill>
      <patternFill patternType="gray125"/>
    </fill>
    <fill>
      <patternFill patternType="solid">
        <fgColor rgb="FFFFFF00"/>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3" tint="0.59999389629810485"/>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0.34998626667073579"/>
        <bgColor indexed="64"/>
      </patternFill>
    </fill>
    <fill>
      <patternFill patternType="solid">
        <fgColor theme="3" tint="0.39997558519241921"/>
        <bgColor indexed="64"/>
      </patternFill>
    </fill>
    <fill>
      <patternFill patternType="solid">
        <fgColor theme="4" tint="0.59999389629810485"/>
        <bgColor indexed="64"/>
      </patternFill>
    </fill>
  </fills>
  <borders count="31">
    <border>
      <left/>
      <right/>
      <top/>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thin">
        <color indexed="64"/>
      </bottom>
      <diagonal/>
    </border>
    <border>
      <left style="thin">
        <color auto="1"/>
      </left>
      <right style="thin">
        <color auto="1"/>
      </right>
      <top style="thin">
        <color auto="1"/>
      </top>
      <bottom style="thin">
        <color auto="1"/>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2" fillId="0" borderId="0" applyNumberFormat="0" applyFill="0" applyBorder="0" applyAlignment="0" applyProtection="0"/>
  </cellStyleXfs>
  <cellXfs count="214">
    <xf numFmtId="0" fontId="0" fillId="0" borderId="0" xfId="0"/>
    <xf numFmtId="0" fontId="2" fillId="0" borderId="0" xfId="1"/>
    <xf numFmtId="0" fontId="0" fillId="6" borderId="0" xfId="0" applyFill="1"/>
    <xf numFmtId="0" fontId="1" fillId="6" borderId="0" xfId="0" applyFont="1" applyFill="1"/>
    <xf numFmtId="0" fontId="3" fillId="0" borderId="0" xfId="0" applyFont="1" applyAlignment="1">
      <alignment horizontal="center"/>
    </xf>
    <xf numFmtId="0" fontId="0" fillId="0" borderId="3" xfId="0" applyBorder="1"/>
    <xf numFmtId="0" fontId="3" fillId="0" borderId="4" xfId="0" applyFont="1" applyBorder="1" applyAlignment="1">
      <alignment horizontal="center"/>
    </xf>
    <xf numFmtId="0" fontId="1" fillId="0" borderId="0" xfId="0" applyFont="1"/>
    <xf numFmtId="0" fontId="3" fillId="0" borderId="6" xfId="0" applyFont="1" applyBorder="1" applyAlignment="1">
      <alignment horizontal="centerContinuous"/>
    </xf>
    <xf numFmtId="0" fontId="3" fillId="0" borderId="7" xfId="0" applyFont="1" applyBorder="1" applyAlignment="1">
      <alignment horizontal="centerContinuous"/>
    </xf>
    <xf numFmtId="0" fontId="0" fillId="0" borderId="8" xfId="0" applyBorder="1"/>
    <xf numFmtId="0" fontId="0" fillId="0" borderId="9" xfId="0" applyBorder="1"/>
    <xf numFmtId="0" fontId="0" fillId="0" borderId="10" xfId="0" applyBorder="1"/>
    <xf numFmtId="0" fontId="0" fillId="0" borderId="11" xfId="0" applyBorder="1"/>
    <xf numFmtId="0" fontId="3" fillId="0" borderId="6" xfId="0" applyFont="1" applyBorder="1" applyAlignment="1">
      <alignment horizontal="center"/>
    </xf>
    <xf numFmtId="0" fontId="3" fillId="0" borderId="7" xfId="0" applyFont="1" applyBorder="1" applyAlignment="1">
      <alignment horizontal="center"/>
    </xf>
    <xf numFmtId="0" fontId="0" fillId="9" borderId="0" xfId="0" applyFill="1"/>
    <xf numFmtId="0" fontId="0" fillId="9" borderId="3" xfId="0" applyFill="1" applyBorder="1"/>
    <xf numFmtId="0" fontId="0" fillId="0" borderId="13" xfId="0" applyBorder="1"/>
    <xf numFmtId="166" fontId="1" fillId="2" borderId="14" xfId="0" applyNumberFormat="1" applyFont="1" applyFill="1" applyBorder="1"/>
    <xf numFmtId="0" fontId="0" fillId="10" borderId="15" xfId="0" applyFill="1" applyBorder="1"/>
    <xf numFmtId="0" fontId="0" fillId="10" borderId="16" xfId="0" applyFill="1" applyBorder="1"/>
    <xf numFmtId="0" fontId="0" fillId="10" borderId="17" xfId="0" applyFill="1" applyBorder="1"/>
    <xf numFmtId="0" fontId="0" fillId="11" borderId="13" xfId="0" applyFill="1" applyBorder="1"/>
    <xf numFmtId="0" fontId="0" fillId="11" borderId="9" xfId="0" applyFill="1" applyBorder="1"/>
    <xf numFmtId="166" fontId="0" fillId="11" borderId="9" xfId="0" applyNumberFormat="1" applyFill="1" applyBorder="1"/>
    <xf numFmtId="166" fontId="0" fillId="11" borderId="11" xfId="0" applyNumberFormat="1" applyFill="1" applyBorder="1"/>
    <xf numFmtId="166" fontId="1" fillId="8" borderId="14" xfId="0" applyNumberFormat="1" applyFont="1" applyFill="1" applyBorder="1"/>
    <xf numFmtId="0" fontId="0" fillId="11" borderId="0" xfId="0" applyFill="1"/>
    <xf numFmtId="164" fontId="0" fillId="11" borderId="9" xfId="0" applyNumberFormat="1" applyFill="1" applyBorder="1"/>
    <xf numFmtId="0" fontId="0" fillId="11" borderId="18" xfId="0" applyFill="1" applyBorder="1"/>
    <xf numFmtId="0" fontId="0" fillId="11" borderId="4" xfId="0" applyFill="1" applyBorder="1"/>
    <xf numFmtId="0" fontId="0" fillId="11" borderId="7" xfId="0" applyFill="1" applyBorder="1"/>
    <xf numFmtId="0" fontId="0" fillId="11" borderId="3" xfId="0" applyFill="1" applyBorder="1"/>
    <xf numFmtId="0" fontId="0" fillId="11" borderId="11" xfId="0" applyFill="1" applyBorder="1"/>
    <xf numFmtId="0" fontId="0" fillId="3" borderId="8" xfId="0" applyFill="1" applyBorder="1"/>
    <xf numFmtId="0" fontId="0" fillId="4" borderId="12" xfId="0" applyFill="1" applyBorder="1"/>
    <xf numFmtId="0" fontId="0" fillId="4" borderId="8" xfId="0" applyFill="1" applyBorder="1"/>
    <xf numFmtId="0" fontId="0" fillId="4" borderId="10" xfId="0" applyFill="1" applyBorder="1"/>
    <xf numFmtId="0" fontId="0" fillId="12" borderId="13" xfId="0" applyFill="1" applyBorder="1"/>
    <xf numFmtId="0" fontId="0" fillId="12" borderId="9" xfId="0" applyFill="1" applyBorder="1"/>
    <xf numFmtId="0" fontId="0" fillId="13" borderId="9" xfId="0" applyFill="1" applyBorder="1"/>
    <xf numFmtId="0" fontId="0" fillId="4" borderId="15" xfId="0" applyFill="1" applyBorder="1"/>
    <xf numFmtId="0" fontId="0" fillId="4" borderId="16" xfId="0" applyFill="1" applyBorder="1"/>
    <xf numFmtId="0" fontId="0" fillId="13" borderId="16" xfId="0" applyFill="1" applyBorder="1"/>
    <xf numFmtId="166" fontId="1" fillId="12" borderId="1" xfId="0" applyNumberFormat="1" applyFont="1" applyFill="1" applyBorder="1"/>
    <xf numFmtId="0" fontId="0" fillId="4" borderId="1" xfId="0" applyFill="1" applyBorder="1"/>
    <xf numFmtId="0" fontId="0" fillId="12" borderId="11" xfId="0" applyFill="1" applyBorder="1"/>
    <xf numFmtId="166" fontId="0" fillId="14" borderId="12" xfId="0" applyNumberFormat="1" applyFill="1" applyBorder="1"/>
    <xf numFmtId="0" fontId="0" fillId="14" borderId="8" xfId="0" applyFill="1" applyBorder="1"/>
    <xf numFmtId="0" fontId="0" fillId="14" borderId="10" xfId="0" applyFill="1" applyBorder="1"/>
    <xf numFmtId="0" fontId="0" fillId="14" borderId="2" xfId="0" applyFill="1" applyBorder="1"/>
    <xf numFmtId="0" fontId="0" fillId="14" borderId="13" xfId="0" applyFill="1" applyBorder="1"/>
    <xf numFmtId="0" fontId="0" fillId="15" borderId="0" xfId="0" applyFill="1"/>
    <xf numFmtId="0" fontId="0" fillId="15" borderId="9" xfId="0" applyFill="1" applyBorder="1"/>
    <xf numFmtId="0" fontId="0" fillId="15" borderId="3" xfId="0" applyFill="1" applyBorder="1"/>
    <xf numFmtId="0" fontId="0" fillId="15" borderId="11" xfId="0" applyFill="1" applyBorder="1"/>
    <xf numFmtId="0" fontId="0" fillId="16" borderId="15" xfId="0" applyFill="1" applyBorder="1"/>
    <xf numFmtId="0" fontId="0" fillId="16" borderId="16" xfId="0" applyFill="1" applyBorder="1"/>
    <xf numFmtId="0" fontId="0" fillId="16" borderId="20" xfId="0" applyFill="1" applyBorder="1"/>
    <xf numFmtId="0" fontId="0" fillId="16" borderId="17" xfId="0" applyFill="1" applyBorder="1"/>
    <xf numFmtId="0" fontId="0" fillId="17" borderId="13" xfId="0" applyFill="1" applyBorder="1"/>
    <xf numFmtId="0" fontId="0" fillId="17" borderId="9" xfId="0" applyFill="1" applyBorder="1"/>
    <xf numFmtId="0" fontId="1" fillId="17" borderId="7" xfId="0" applyFont="1" applyFill="1" applyBorder="1"/>
    <xf numFmtId="0" fontId="1" fillId="17" borderId="11" xfId="0" applyFont="1" applyFill="1" applyBorder="1"/>
    <xf numFmtId="165" fontId="1" fillId="4" borderId="5" xfId="0" applyNumberFormat="1" applyFont="1" applyFill="1" applyBorder="1"/>
    <xf numFmtId="0" fontId="0" fillId="16" borderId="12" xfId="0" applyFill="1" applyBorder="1"/>
    <xf numFmtId="0" fontId="0" fillId="16" borderId="2" xfId="0" applyFill="1" applyBorder="1"/>
    <xf numFmtId="0" fontId="0" fillId="16" borderId="13" xfId="0" applyFill="1" applyBorder="1"/>
    <xf numFmtId="0" fontId="0" fillId="17" borderId="8" xfId="0" applyFill="1" applyBorder="1"/>
    <xf numFmtId="0" fontId="0" fillId="17" borderId="0" xfId="0" applyFill="1"/>
    <xf numFmtId="1" fontId="0" fillId="17" borderId="0" xfId="0" applyNumberFormat="1" applyFill="1"/>
    <xf numFmtId="0" fontId="0" fillId="18" borderId="5" xfId="0" applyFill="1" applyBorder="1"/>
    <xf numFmtId="0" fontId="0" fillId="17" borderId="5" xfId="0" applyFill="1" applyBorder="1"/>
    <xf numFmtId="0" fontId="0" fillId="19" borderId="8" xfId="0" applyFill="1" applyBorder="1"/>
    <xf numFmtId="1" fontId="0" fillId="19" borderId="0" xfId="0" applyNumberFormat="1" applyFill="1"/>
    <xf numFmtId="0" fontId="0" fillId="19" borderId="0" xfId="0" applyFill="1"/>
    <xf numFmtId="0" fontId="0" fillId="19" borderId="9" xfId="0" applyFill="1" applyBorder="1"/>
    <xf numFmtId="0" fontId="0" fillId="19" borderId="10" xfId="0" applyFill="1" applyBorder="1"/>
    <xf numFmtId="1" fontId="0" fillId="19" borderId="3" xfId="0" applyNumberFormat="1" applyFill="1" applyBorder="1"/>
    <xf numFmtId="0" fontId="0" fillId="19" borderId="3" xfId="0" applyFill="1" applyBorder="1"/>
    <xf numFmtId="0" fontId="0" fillId="5" borderId="9" xfId="0" applyFill="1" applyBorder="1"/>
    <xf numFmtId="0" fontId="0" fillId="7" borderId="15" xfId="0" applyFill="1" applyBorder="1"/>
    <xf numFmtId="0" fontId="0" fillId="7" borderId="16" xfId="0" applyFill="1" applyBorder="1"/>
    <xf numFmtId="0" fontId="0" fillId="7" borderId="17" xfId="0" applyFill="1" applyBorder="1"/>
    <xf numFmtId="0" fontId="0" fillId="20" borderId="13" xfId="0" applyFill="1" applyBorder="1"/>
    <xf numFmtId="0" fontId="0" fillId="20" borderId="9" xfId="0" applyFill="1" applyBorder="1"/>
    <xf numFmtId="0" fontId="0" fillId="7" borderId="21" xfId="0" applyFill="1" applyBorder="1"/>
    <xf numFmtId="0" fontId="1" fillId="20" borderId="22" xfId="0" applyFont="1" applyFill="1" applyBorder="1"/>
    <xf numFmtId="0" fontId="0" fillId="7" borderId="12" xfId="0" applyFill="1" applyBorder="1"/>
    <xf numFmtId="0" fontId="0" fillId="7" borderId="8" xfId="0" applyFill="1" applyBorder="1"/>
    <xf numFmtId="0" fontId="0" fillId="7" borderId="10" xfId="0" applyFill="1" applyBorder="1"/>
    <xf numFmtId="0" fontId="0" fillId="20" borderId="11" xfId="0" applyFill="1" applyBorder="1"/>
    <xf numFmtId="0" fontId="0" fillId="21" borderId="16" xfId="0" applyFill="1" applyBorder="1"/>
    <xf numFmtId="0" fontId="0" fillId="21" borderId="9" xfId="0" applyFill="1" applyBorder="1"/>
    <xf numFmtId="0" fontId="0" fillId="0" borderId="21" xfId="0" applyBorder="1"/>
    <xf numFmtId="0" fontId="0" fillId="20" borderId="2" xfId="0" applyFill="1" applyBorder="1"/>
    <xf numFmtId="0" fontId="0" fillId="20" borderId="0" xfId="0" applyFill="1"/>
    <xf numFmtId="0" fontId="0" fillId="21" borderId="21" xfId="0" applyFill="1" applyBorder="1"/>
    <xf numFmtId="0" fontId="0" fillId="21" borderId="23" xfId="0" applyFill="1" applyBorder="1"/>
    <xf numFmtId="0" fontId="0" fillId="21" borderId="22" xfId="0" applyFill="1" applyBorder="1"/>
    <xf numFmtId="0" fontId="0" fillId="20" borderId="3" xfId="0" applyFill="1" applyBorder="1"/>
    <xf numFmtId="0" fontId="0" fillId="21" borderId="20" xfId="0" applyFill="1" applyBorder="1"/>
    <xf numFmtId="0" fontId="0" fillId="7" borderId="4" xfId="0" applyFill="1" applyBorder="1"/>
    <xf numFmtId="0" fontId="0" fillId="7" borderId="7" xfId="0" applyFill="1" applyBorder="1"/>
    <xf numFmtId="0" fontId="0" fillId="0" borderId="1" xfId="0" applyBorder="1"/>
    <xf numFmtId="0" fontId="1" fillId="11" borderId="9" xfId="0" applyFont="1" applyFill="1" applyBorder="1"/>
    <xf numFmtId="0" fontId="0" fillId="22" borderId="21" xfId="0" applyFill="1" applyBorder="1"/>
    <xf numFmtId="0" fontId="0" fillId="22" borderId="22" xfId="0" applyFill="1" applyBorder="1"/>
    <xf numFmtId="0" fontId="0" fillId="14" borderId="15" xfId="0" applyFill="1" applyBorder="1"/>
    <xf numFmtId="0" fontId="0" fillId="14" borderId="16" xfId="0" applyFill="1" applyBorder="1"/>
    <xf numFmtId="0" fontId="0" fillId="14" borderId="17" xfId="0" applyFill="1" applyBorder="1"/>
    <xf numFmtId="0" fontId="0" fillId="9" borderId="2" xfId="0" applyFill="1" applyBorder="1"/>
    <xf numFmtId="0" fontId="0" fillId="9" borderId="13" xfId="0" applyFill="1" applyBorder="1"/>
    <xf numFmtId="0" fontId="0" fillId="9" borderId="9" xfId="0" applyFill="1" applyBorder="1"/>
    <xf numFmtId="0" fontId="0" fillId="9" borderId="11" xfId="0" applyFill="1" applyBorder="1"/>
    <xf numFmtId="0" fontId="0" fillId="9" borderId="1" xfId="0" applyFill="1" applyBorder="1"/>
    <xf numFmtId="0" fontId="0" fillId="14" borderId="1" xfId="0" applyFill="1" applyBorder="1"/>
    <xf numFmtId="0" fontId="0" fillId="19" borderId="13" xfId="0" applyFill="1" applyBorder="1"/>
    <xf numFmtId="0" fontId="0" fillId="23" borderId="24" xfId="0" applyFill="1" applyBorder="1"/>
    <xf numFmtId="0" fontId="0" fillId="23" borderId="17" xfId="0" applyFill="1" applyBorder="1"/>
    <xf numFmtId="0" fontId="0" fillId="14" borderId="25" xfId="0" applyFill="1" applyBorder="1"/>
    <xf numFmtId="0" fontId="0" fillId="14" borderId="11" xfId="0" applyFill="1" applyBorder="1"/>
    <xf numFmtId="0" fontId="0" fillId="0" borderId="26" xfId="0" applyBorder="1"/>
    <xf numFmtId="0" fontId="0" fillId="0" borderId="27" xfId="0" applyBorder="1"/>
    <xf numFmtId="0" fontId="0" fillId="0" borderId="14" xfId="0" applyBorder="1"/>
    <xf numFmtId="0" fontId="0" fillId="4" borderId="26" xfId="0" applyFill="1" applyBorder="1"/>
    <xf numFmtId="0" fontId="0" fillId="4" borderId="27" xfId="0" applyFill="1" applyBorder="1"/>
    <xf numFmtId="0" fontId="0" fillId="4" borderId="14" xfId="0" applyFill="1" applyBorder="1"/>
    <xf numFmtId="0" fontId="0" fillId="19" borderId="11" xfId="0" applyFill="1" applyBorder="1"/>
    <xf numFmtId="0" fontId="0" fillId="19" borderId="2" xfId="0" applyFill="1" applyBorder="1"/>
    <xf numFmtId="0" fontId="0" fillId="18" borderId="1" xfId="0" applyFill="1" applyBorder="1"/>
    <xf numFmtId="0" fontId="0" fillId="18" borderId="28" xfId="0" applyFill="1" applyBorder="1"/>
    <xf numFmtId="0" fontId="0" fillId="16" borderId="1" xfId="0" applyFill="1" applyBorder="1"/>
    <xf numFmtId="0" fontId="0" fillId="18" borderId="26" xfId="0" applyFill="1" applyBorder="1"/>
    <xf numFmtId="0" fontId="0" fillId="18" borderId="14" xfId="0" applyFill="1" applyBorder="1"/>
    <xf numFmtId="0" fontId="1" fillId="6" borderId="22" xfId="0" applyFont="1" applyFill="1" applyBorder="1"/>
    <xf numFmtId="0" fontId="0" fillId="12" borderId="15" xfId="0" applyFill="1" applyBorder="1"/>
    <xf numFmtId="0" fontId="0" fillId="12" borderId="16" xfId="0" applyFill="1" applyBorder="1"/>
    <xf numFmtId="0" fontId="0" fillId="3" borderId="12" xfId="0" applyFill="1" applyBorder="1"/>
    <xf numFmtId="0" fontId="0" fillId="5" borderId="13" xfId="0" applyFill="1" applyBorder="1"/>
    <xf numFmtId="0" fontId="0" fillId="3" borderId="10" xfId="0" applyFill="1" applyBorder="1"/>
    <xf numFmtId="0" fontId="1" fillId="5" borderId="13" xfId="0" applyFont="1" applyFill="1" applyBorder="1"/>
    <xf numFmtId="0" fontId="0" fillId="5" borderId="11" xfId="0" applyFill="1" applyBorder="1"/>
    <xf numFmtId="0" fontId="0" fillId="3" borderId="15" xfId="0" applyFill="1" applyBorder="1"/>
    <xf numFmtId="0" fontId="0" fillId="3" borderId="16" xfId="0" applyFill="1" applyBorder="1"/>
    <xf numFmtId="0" fontId="0" fillId="3" borderId="17" xfId="0" applyFill="1" applyBorder="1"/>
    <xf numFmtId="0" fontId="0" fillId="24" borderId="15" xfId="0" applyFill="1" applyBorder="1"/>
    <xf numFmtId="0" fontId="0" fillId="24" borderId="13" xfId="0" applyFill="1" applyBorder="1"/>
    <xf numFmtId="0" fontId="0" fillId="24" borderId="16" xfId="0" applyFill="1" applyBorder="1"/>
    <xf numFmtId="0" fontId="0" fillId="24" borderId="9" xfId="0" applyFill="1" applyBorder="1"/>
    <xf numFmtId="0" fontId="0" fillId="15" borderId="20" xfId="0" applyFill="1" applyBorder="1"/>
    <xf numFmtId="0" fontId="0" fillId="15" borderId="4" xfId="0" applyFill="1" applyBorder="1"/>
    <xf numFmtId="0" fontId="0" fillId="15" borderId="7" xfId="0" applyFill="1" applyBorder="1"/>
    <xf numFmtId="14" fontId="0" fillId="15" borderId="16" xfId="0" applyNumberFormat="1" applyFill="1" applyBorder="1"/>
    <xf numFmtId="14" fontId="0" fillId="15" borderId="17" xfId="0" applyNumberFormat="1" applyFill="1" applyBorder="1"/>
    <xf numFmtId="0" fontId="0" fillId="16" borderId="0" xfId="0" applyFill="1"/>
    <xf numFmtId="0" fontId="0" fillId="16" borderId="9" xfId="0" applyFill="1" applyBorder="1"/>
    <xf numFmtId="0" fontId="0" fillId="16" borderId="3" xfId="0" applyFill="1" applyBorder="1"/>
    <xf numFmtId="0" fontId="0" fillId="16" borderId="11" xfId="0" applyFill="1" applyBorder="1"/>
    <xf numFmtId="165" fontId="0" fillId="0" borderId="3" xfId="0" applyNumberFormat="1" applyBorder="1"/>
    <xf numFmtId="0" fontId="0" fillId="3" borderId="19" xfId="0" applyFill="1" applyBorder="1"/>
    <xf numFmtId="0" fontId="0" fillId="4" borderId="29" xfId="0" applyFill="1" applyBorder="1"/>
    <xf numFmtId="0" fontId="0" fillId="4" borderId="30" xfId="0" applyFill="1" applyBorder="1"/>
    <xf numFmtId="0" fontId="0" fillId="3" borderId="6" xfId="0" applyFill="1" applyBorder="1"/>
    <xf numFmtId="0" fontId="0" fillId="3" borderId="4" xfId="0" applyFill="1" applyBorder="1"/>
    <xf numFmtId="0" fontId="0" fillId="3" borderId="7" xfId="0" applyFill="1" applyBorder="1"/>
    <xf numFmtId="0" fontId="0" fillId="4" borderId="0" xfId="0" applyFill="1"/>
    <xf numFmtId="1" fontId="0" fillId="4" borderId="0" xfId="0" applyNumberFormat="1" applyFill="1"/>
    <xf numFmtId="0" fontId="0" fillId="4" borderId="9" xfId="0" applyFill="1" applyBorder="1"/>
    <xf numFmtId="0" fontId="1" fillId="3" borderId="26" xfId="0" applyFont="1" applyFill="1" applyBorder="1"/>
    <xf numFmtId="0" fontId="1" fillId="4" borderId="27" xfId="0" applyFont="1" applyFill="1" applyBorder="1"/>
    <xf numFmtId="0" fontId="1" fillId="4" borderId="14" xfId="0" applyFont="1" applyFill="1" applyBorder="1"/>
    <xf numFmtId="165" fontId="1" fillId="0" borderId="3" xfId="0" applyNumberFormat="1" applyFont="1" applyBorder="1"/>
    <xf numFmtId="0" fontId="0" fillId="3" borderId="1" xfId="0" applyFill="1" applyBorder="1"/>
    <xf numFmtId="167" fontId="0" fillId="4" borderId="10" xfId="0" applyNumberFormat="1" applyFill="1" applyBorder="1"/>
    <xf numFmtId="168" fontId="0" fillId="4" borderId="11" xfId="0" applyNumberFormat="1" applyFill="1" applyBorder="1"/>
    <xf numFmtId="0" fontId="0" fillId="25" borderId="20" xfId="0" applyFill="1" applyBorder="1"/>
    <xf numFmtId="0" fontId="3" fillId="25" borderId="4" xfId="0" applyFont="1" applyFill="1" applyBorder="1" applyAlignment="1">
      <alignment horizontal="center"/>
    </xf>
    <xf numFmtId="0" fontId="3" fillId="25" borderId="7" xfId="0" applyFont="1" applyFill="1" applyBorder="1" applyAlignment="1">
      <alignment horizontal="center"/>
    </xf>
    <xf numFmtId="0" fontId="0" fillId="25" borderId="16" xfId="0" applyFill="1" applyBorder="1"/>
    <xf numFmtId="0" fontId="0" fillId="25" borderId="17" xfId="0" applyFill="1" applyBorder="1"/>
    <xf numFmtId="0" fontId="1" fillId="0" borderId="28" xfId="0" applyFont="1" applyBorder="1"/>
    <xf numFmtId="0" fontId="1" fillId="0" borderId="30" xfId="0" applyFont="1" applyBorder="1"/>
    <xf numFmtId="0" fontId="0" fillId="25" borderId="6" xfId="0" applyFill="1" applyBorder="1"/>
    <xf numFmtId="0" fontId="0" fillId="25" borderId="4" xfId="0" applyFill="1" applyBorder="1"/>
    <xf numFmtId="0" fontId="0" fillId="25" borderId="7" xfId="0" applyFill="1" applyBorder="1"/>
    <xf numFmtId="0" fontId="0" fillId="16" borderId="8" xfId="0" applyFill="1" applyBorder="1"/>
    <xf numFmtId="0" fontId="0" fillId="16" borderId="10" xfId="0" applyFill="1" applyBorder="1"/>
    <xf numFmtId="0" fontId="1" fillId="16" borderId="1" xfId="0" applyFont="1" applyFill="1" applyBorder="1"/>
    <xf numFmtId="0" fontId="1" fillId="16" borderId="8" xfId="0" applyFont="1" applyFill="1" applyBorder="1"/>
    <xf numFmtId="0" fontId="1" fillId="16" borderId="9" xfId="0" applyFont="1" applyFill="1" applyBorder="1"/>
    <xf numFmtId="0" fontId="1" fillId="25" borderId="6" xfId="0" applyFont="1" applyFill="1" applyBorder="1"/>
    <xf numFmtId="0" fontId="1" fillId="7" borderId="6" xfId="0" applyFont="1" applyFill="1" applyBorder="1"/>
    <xf numFmtId="0" fontId="6" fillId="7" borderId="4" xfId="0" applyFont="1" applyFill="1" applyBorder="1"/>
    <xf numFmtId="0" fontId="1" fillId="7" borderId="4" xfId="0" applyFont="1" applyFill="1" applyBorder="1"/>
    <xf numFmtId="0" fontId="1" fillId="7" borderId="7" xfId="0" applyFont="1" applyFill="1" applyBorder="1"/>
    <xf numFmtId="2" fontId="0" fillId="20" borderId="8" xfId="0" applyNumberFormat="1" applyFill="1" applyBorder="1"/>
    <xf numFmtId="169" fontId="7" fillId="20" borderId="0" xfId="0" applyNumberFormat="1" applyFont="1" applyFill="1"/>
    <xf numFmtId="0" fontId="5" fillId="20" borderId="0" xfId="0" applyFont="1" applyFill="1"/>
    <xf numFmtId="2" fontId="0" fillId="20" borderId="10" xfId="0" applyNumberFormat="1" applyFill="1" applyBorder="1"/>
    <xf numFmtId="169" fontId="7" fillId="20" borderId="3" xfId="0" applyNumberFormat="1" applyFont="1" applyFill="1" applyBorder="1"/>
    <xf numFmtId="0" fontId="5" fillId="20" borderId="3" xfId="0" applyFont="1" applyFill="1" applyBorder="1"/>
    <xf numFmtId="169" fontId="7" fillId="20" borderId="8" xfId="0" applyNumberFormat="1" applyFont="1" applyFill="1" applyBorder="1"/>
    <xf numFmtId="169" fontId="7" fillId="20" borderId="10" xfId="0" applyNumberFormat="1" applyFont="1" applyFill="1" applyBorder="1"/>
    <xf numFmtId="0" fontId="6" fillId="7" borderId="6" xfId="0" applyFont="1" applyFill="1" applyBorder="1"/>
    <xf numFmtId="0" fontId="8" fillId="19" borderId="12" xfId="0" applyFont="1" applyFill="1" applyBorder="1" applyAlignment="1">
      <alignment horizontal="center"/>
    </xf>
    <xf numFmtId="0" fontId="0" fillId="19" borderId="2" xfId="0" applyFill="1" applyBorder="1" applyAlignment="1">
      <alignment horizontal="center"/>
    </xf>
    <xf numFmtId="0" fontId="0" fillId="19" borderId="13" xfId="0" applyFill="1" applyBorder="1" applyAlignment="1">
      <alignment horizontal="center"/>
    </xf>
    <xf numFmtId="0" fontId="0" fillId="19" borderId="10" xfId="0" applyFill="1" applyBorder="1" applyAlignment="1">
      <alignment horizontal="center"/>
    </xf>
    <xf numFmtId="0" fontId="0" fillId="19" borderId="3" xfId="0" applyFill="1" applyBorder="1" applyAlignment="1">
      <alignment horizontal="center"/>
    </xf>
    <xf numFmtId="0" fontId="0" fillId="19" borderId="11" xfId="0" applyFill="1" applyBorder="1" applyAlignment="1">
      <alignment horizontal="center"/>
    </xf>
    <xf numFmtId="0" fontId="4" fillId="0" borderId="0" xfId="0" applyFont="1" applyAlignment="1">
      <alignment horizontal="center"/>
    </xf>
    <xf numFmtId="0" fontId="0" fillId="0" borderId="0" xfId="0" applyAlignment="1">
      <alignment horizontal="center"/>
    </xf>
  </cellXfs>
  <cellStyles count="2">
    <cellStyle name="Hyperlink" xfId="1" builtinId="8"/>
    <cellStyle name="Normal" xfId="0" builtinId="0"/>
  </cellStyles>
  <dxfs count="0"/>
  <tableStyles count="1" defaultTableStyle="TableStyleMedium2" defaultPivotStyle="PivotStyleLight16">
    <tableStyle name="Invisible" pivot="0" table="0" count="0" xr9:uid="{03C055E7-CDC3-40C0-91FD-07C33F78C89A}"/>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BP vs r</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IN"/>
        </a:p>
      </c:txPr>
    </c:title>
    <c:autoTitleDeleted val="0"/>
    <c:plotArea>
      <c:layout/>
      <c:lineChart>
        <c:grouping val="standard"/>
        <c:varyColors val="0"/>
        <c:ser>
          <c:idx val="0"/>
          <c:order val="0"/>
          <c:tx>
            <c:strRef>
              <c:f>'BP vs r'!$G$6</c:f>
              <c:strCache>
                <c:ptCount val="1"/>
                <c:pt idx="0">
                  <c:v>1992.439189</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numRef>
              <c:f>'BP vs r'!$F$7:$F$21</c:f>
              <c:numCache>
                <c:formatCode>General</c:formatCode>
                <c:ptCount val="15"/>
                <c:pt idx="0">
                  <c:v>0.01</c:v>
                </c:pt>
                <c:pt idx="1">
                  <c:v>0.02</c:v>
                </c:pt>
                <c:pt idx="2">
                  <c:v>0.03</c:v>
                </c:pt>
                <c:pt idx="3">
                  <c:v>0.04</c:v>
                </c:pt>
                <c:pt idx="4">
                  <c:v>0.05</c:v>
                </c:pt>
                <c:pt idx="5">
                  <c:v>0.06</c:v>
                </c:pt>
                <c:pt idx="6">
                  <c:v>7.0000000000000007E-2</c:v>
                </c:pt>
                <c:pt idx="7">
                  <c:v>0.08</c:v>
                </c:pt>
                <c:pt idx="8">
                  <c:v>0.09</c:v>
                </c:pt>
                <c:pt idx="9">
                  <c:v>0.1</c:v>
                </c:pt>
                <c:pt idx="10">
                  <c:v>0.11</c:v>
                </c:pt>
                <c:pt idx="11">
                  <c:v>0.12</c:v>
                </c:pt>
                <c:pt idx="12">
                  <c:v>0.13</c:v>
                </c:pt>
                <c:pt idx="13">
                  <c:v>0.14000000000000001</c:v>
                </c:pt>
                <c:pt idx="14">
                  <c:v>0.15</c:v>
                </c:pt>
              </c:numCache>
            </c:numRef>
          </c:cat>
          <c:val>
            <c:numRef>
              <c:f>'BP vs r'!$G$7:$G$21</c:f>
              <c:numCache>
                <c:formatCode>General</c:formatCode>
                <c:ptCount val="15"/>
                <c:pt idx="0">
                  <c:v>2158.2539889899613</c:v>
                </c:pt>
                <c:pt idx="1">
                  <c:v>2117.4016969692002</c:v>
                </c:pt>
                <c:pt idx="2">
                  <c:v>2077.4221449296015</c:v>
                </c:pt>
                <c:pt idx="3">
                  <c:v>2038.2948878365476</c:v>
                </c:pt>
                <c:pt idx="4">
                  <c:v>2000</c:v>
                </c:pt>
                <c:pt idx="5">
                  <c:v>1962.5180608744927</c:v>
                </c:pt>
                <c:pt idx="6">
                  <c:v>1925.8301412746555</c:v>
                </c:pt>
                <c:pt idx="7">
                  <c:v>1889.9177899933104</c:v>
                </c:pt>
                <c:pt idx="8">
                  <c:v>1854.7630208096164</c:v>
                </c:pt>
                <c:pt idx="9">
                  <c:v>1820.3482998751551</c:v>
                </c:pt>
                <c:pt idx="10">
                  <c:v>1786.6565334662494</c:v>
                </c:pt>
                <c:pt idx="11">
                  <c:v>1753.6710560911804</c:v>
                </c:pt>
                <c:pt idx="12">
                  <c:v>1721.3756189413575</c:v>
                </c:pt>
                <c:pt idx="13">
                  <c:v>1689.7543786758406</c:v>
                </c:pt>
                <c:pt idx="14">
                  <c:v>1658.7918865289666</c:v>
                </c:pt>
              </c:numCache>
            </c:numRef>
          </c:val>
          <c:smooth val="0"/>
          <c:extLst>
            <c:ext xmlns:c16="http://schemas.microsoft.com/office/drawing/2014/chart" uri="{C3380CC4-5D6E-409C-BE32-E72D297353CC}">
              <c16:uniqueId val="{00000000-7313-4BB0-81FB-151CFA4E10BF}"/>
            </c:ext>
          </c:extLst>
        </c:ser>
        <c:dLbls>
          <c:showLegendKey val="0"/>
          <c:showVal val="0"/>
          <c:showCatName val="0"/>
          <c:showSerName val="0"/>
          <c:showPercent val="0"/>
          <c:showBubbleSize val="0"/>
        </c:dLbls>
        <c:marker val="1"/>
        <c:smooth val="0"/>
        <c:axId val="1737872239"/>
        <c:axId val="1737875119"/>
      </c:lineChart>
      <c:catAx>
        <c:axId val="173787223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737875119"/>
        <c:crosses val="autoZero"/>
        <c:auto val="1"/>
        <c:lblAlgn val="ctr"/>
        <c:lblOffset val="100"/>
        <c:noMultiLvlLbl val="0"/>
      </c:catAx>
      <c:valAx>
        <c:axId val="1737875119"/>
        <c:scaling>
          <c:orientation val="minMax"/>
        </c:scaling>
        <c:delete val="0"/>
        <c:axPos val="l"/>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8722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BP vs Cpr</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'BP vs Cpr'!$H$6</c:f>
              <c:strCache>
                <c:ptCount val="1"/>
                <c:pt idx="0">
                  <c:v>1992.439189</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numRef>
              <c:f>'BP vs Cpr'!$G$7:$G$21</c:f>
              <c:numCache>
                <c:formatCode>General</c:formatCode>
                <c:ptCount val="15"/>
                <c:pt idx="0">
                  <c:v>0.01</c:v>
                </c:pt>
                <c:pt idx="1">
                  <c:v>0.02</c:v>
                </c:pt>
                <c:pt idx="2">
                  <c:v>0.03</c:v>
                </c:pt>
                <c:pt idx="3">
                  <c:v>0.04</c:v>
                </c:pt>
                <c:pt idx="4">
                  <c:v>0.05</c:v>
                </c:pt>
                <c:pt idx="5">
                  <c:v>0.06</c:v>
                </c:pt>
                <c:pt idx="6">
                  <c:v>7.0000000000000007E-2</c:v>
                </c:pt>
                <c:pt idx="7">
                  <c:v>0.08</c:v>
                </c:pt>
                <c:pt idx="8">
                  <c:v>0.09</c:v>
                </c:pt>
                <c:pt idx="9">
                  <c:v>0.1</c:v>
                </c:pt>
                <c:pt idx="10">
                  <c:v>0.11</c:v>
                </c:pt>
                <c:pt idx="11">
                  <c:v>0.12</c:v>
                </c:pt>
                <c:pt idx="12">
                  <c:v>0.13</c:v>
                </c:pt>
                <c:pt idx="13">
                  <c:v>0.14000000000000001</c:v>
                </c:pt>
                <c:pt idx="14">
                  <c:v>0.15</c:v>
                </c:pt>
              </c:numCache>
            </c:numRef>
          </c:cat>
          <c:val>
            <c:numRef>
              <c:f>'BP vs Cpr'!$H$7:$H$21</c:f>
              <c:numCache>
                <c:formatCode>General</c:formatCode>
                <c:ptCount val="15"/>
                <c:pt idx="0">
                  <c:v>1841.2229690330048</c:v>
                </c:pt>
                <c:pt idx="1">
                  <c:v>1879.0270240251464</c:v>
                </c:pt>
                <c:pt idx="2">
                  <c:v>1916.8310790172882</c:v>
                </c:pt>
                <c:pt idx="3">
                  <c:v>1954.63513400943</c:v>
                </c:pt>
                <c:pt idx="4">
                  <c:v>1992.4391890015718</c:v>
                </c:pt>
                <c:pt idx="5">
                  <c:v>2030.2432439937133</c:v>
                </c:pt>
                <c:pt idx="6">
                  <c:v>2068.0472989858554</c:v>
                </c:pt>
                <c:pt idx="7">
                  <c:v>2105.851353977997</c:v>
                </c:pt>
                <c:pt idx="8">
                  <c:v>2143.6554089701385</c:v>
                </c:pt>
                <c:pt idx="9">
                  <c:v>2181.4594639622806</c:v>
                </c:pt>
                <c:pt idx="10">
                  <c:v>2219.2635189544221</c:v>
                </c:pt>
                <c:pt idx="11">
                  <c:v>2257.0675739465637</c:v>
                </c:pt>
                <c:pt idx="12">
                  <c:v>2294.8716289387057</c:v>
                </c:pt>
                <c:pt idx="13">
                  <c:v>2332.6756839308473</c:v>
                </c:pt>
                <c:pt idx="14">
                  <c:v>2370.4797389229889</c:v>
                </c:pt>
              </c:numCache>
            </c:numRef>
          </c:val>
          <c:smooth val="0"/>
          <c:extLst>
            <c:ext xmlns:c16="http://schemas.microsoft.com/office/drawing/2014/chart" uri="{C3380CC4-5D6E-409C-BE32-E72D297353CC}">
              <c16:uniqueId val="{00000000-ACA1-4A47-835E-E0E5F239EFC3}"/>
            </c:ext>
          </c:extLst>
        </c:ser>
        <c:dLbls>
          <c:showLegendKey val="0"/>
          <c:showVal val="0"/>
          <c:showCatName val="0"/>
          <c:showSerName val="0"/>
          <c:showPercent val="0"/>
          <c:showBubbleSize val="0"/>
        </c:dLbls>
        <c:marker val="1"/>
        <c:smooth val="0"/>
        <c:axId val="1737233535"/>
        <c:axId val="1737234975"/>
      </c:lineChart>
      <c:catAx>
        <c:axId val="17372335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737234975"/>
        <c:crosses val="autoZero"/>
        <c:auto val="1"/>
        <c:lblAlgn val="ctr"/>
        <c:lblOffset val="100"/>
        <c:noMultiLvlLbl val="0"/>
      </c:catAx>
      <c:valAx>
        <c:axId val="1737234975"/>
        <c:scaling>
          <c:orientation val="minMax"/>
        </c:scaling>
        <c:delete val="0"/>
        <c:axPos val="l"/>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2335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 BP vs m </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'BP vs m'!$G$6</c:f>
              <c:strCache>
                <c:ptCount val="1"/>
                <c:pt idx="0">
                  <c:v>1992.439189</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numRef>
              <c:f>'BP vs m'!$F$7:$F$21</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'BP vs m'!$G$7:$G$21</c:f>
              <c:numCache>
                <c:formatCode>General</c:formatCode>
                <c:ptCount val="15"/>
                <c:pt idx="0">
                  <c:v>1992.5833827292574</c:v>
                </c:pt>
                <c:pt idx="1">
                  <c:v>1992.4941410631809</c:v>
                </c:pt>
                <c:pt idx="2">
                  <c:v>1992.4637456486598</c:v>
                </c:pt>
                <c:pt idx="3">
                  <c:v>1992.4484230106557</c:v>
                </c:pt>
                <c:pt idx="4">
                  <c:v>1992.4391890015718</c:v>
                </c:pt>
                <c:pt idx="5">
                  <c:v>1992.4330160460347</c:v>
                </c:pt>
                <c:pt idx="6">
                  <c:v>1992.428598456916</c:v>
                </c:pt>
                <c:pt idx="7">
                  <c:v>1992.4252806939426</c:v>
                </c:pt>
                <c:pt idx="8">
                  <c:v>1992.4226974971525</c:v>
                </c:pt>
                <c:pt idx="9">
                  <c:v>1992.4206292268432</c:v>
                </c:pt>
                <c:pt idx="10">
                  <c:v>1992.4189358717474</c:v>
                </c:pt>
                <c:pt idx="11">
                  <c:v>1992.4175239621059</c:v>
                </c:pt>
                <c:pt idx="12">
                  <c:v>1992.4163287147242</c:v>
                </c:pt>
                <c:pt idx="13">
                  <c:v>1992.4153038120337</c:v>
                </c:pt>
                <c:pt idx="14">
                  <c:v>1992.4144152604949</c:v>
                </c:pt>
              </c:numCache>
            </c:numRef>
          </c:val>
          <c:smooth val="0"/>
          <c:extLst>
            <c:ext xmlns:c16="http://schemas.microsoft.com/office/drawing/2014/chart" uri="{C3380CC4-5D6E-409C-BE32-E72D297353CC}">
              <c16:uniqueId val="{00000000-2391-4CDF-9E70-6533DC01732B}"/>
            </c:ext>
          </c:extLst>
        </c:ser>
        <c:dLbls>
          <c:showLegendKey val="0"/>
          <c:showVal val="0"/>
          <c:showCatName val="0"/>
          <c:showSerName val="0"/>
          <c:showPercent val="0"/>
          <c:showBubbleSize val="0"/>
        </c:dLbls>
        <c:marker val="1"/>
        <c:smooth val="0"/>
        <c:axId val="1737235455"/>
        <c:axId val="2133023407"/>
      </c:lineChart>
      <c:catAx>
        <c:axId val="173723545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33023407"/>
        <c:crosses val="autoZero"/>
        <c:auto val="1"/>
        <c:lblAlgn val="ctr"/>
        <c:lblOffset val="100"/>
        <c:noMultiLvlLbl val="0"/>
      </c:catAx>
      <c:valAx>
        <c:axId val="2133023407"/>
        <c:scaling>
          <c:orientation val="minMax"/>
        </c:scaling>
        <c:delete val="0"/>
        <c:axPos val="l"/>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2354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'BP vs r vs T'!$Q$6</c:f>
              <c:strCache>
                <c:ptCount val="1"/>
                <c:pt idx="0">
                  <c:v>3</c:v>
                </c:pt>
              </c:strCache>
            </c:strRef>
          </c:tx>
          <c:spPr>
            <a:ln w="22225" cap="rnd" cmpd="sng" algn="ctr">
              <a:solidFill>
                <a:schemeClr val="accent1"/>
              </a:solidFill>
              <a:round/>
            </a:ln>
            <a:effectLst/>
          </c:spPr>
          <c:marker>
            <c:symbol val="none"/>
          </c:marker>
          <c:cat>
            <c:numRef>
              <c:f>'BP vs r vs T'!$P$7:$P$21</c:f>
              <c:numCache>
                <c:formatCode>General</c:formatCode>
                <c:ptCount val="15"/>
                <c:pt idx="0">
                  <c:v>0.01</c:v>
                </c:pt>
                <c:pt idx="1">
                  <c:v>0.02</c:v>
                </c:pt>
                <c:pt idx="2">
                  <c:v>0.03</c:v>
                </c:pt>
                <c:pt idx="3">
                  <c:v>0.04</c:v>
                </c:pt>
                <c:pt idx="4">
                  <c:v>0.05</c:v>
                </c:pt>
                <c:pt idx="5">
                  <c:v>0.06</c:v>
                </c:pt>
                <c:pt idx="6">
                  <c:v>7.0000000000000007E-2</c:v>
                </c:pt>
                <c:pt idx="7">
                  <c:v>0.08</c:v>
                </c:pt>
                <c:pt idx="8">
                  <c:v>0.09</c:v>
                </c:pt>
                <c:pt idx="9">
                  <c:v>0.1</c:v>
                </c:pt>
                <c:pt idx="10">
                  <c:v>0.11</c:v>
                </c:pt>
                <c:pt idx="11">
                  <c:v>0.12</c:v>
                </c:pt>
                <c:pt idx="12">
                  <c:v>0.13</c:v>
                </c:pt>
                <c:pt idx="13">
                  <c:v>0.14000000000000001</c:v>
                </c:pt>
                <c:pt idx="14">
                  <c:v>0.15</c:v>
                </c:pt>
              </c:numCache>
            </c:numRef>
          </c:cat>
          <c:val>
            <c:numRef>
              <c:f>'BP vs r vs T'!$Q$7:$Q$21</c:f>
              <c:numCache>
                <c:formatCode>General</c:formatCode>
                <c:ptCount val="15"/>
                <c:pt idx="0">
                  <c:v>2236.2031312770414</c:v>
                </c:pt>
                <c:pt idx="1">
                  <c:v>2174.3682451705863</c:v>
                </c:pt>
                <c:pt idx="2">
                  <c:v>2114.4306705106183</c:v>
                </c:pt>
                <c:pt idx="3">
                  <c:v>2056.3279986721009</c:v>
                </c:pt>
                <c:pt idx="4">
                  <c:v>2000</c:v>
                </c:pt>
                <c:pt idx="5">
                  <c:v>1945.3885434817059</c:v>
                </c:pt>
                <c:pt idx="6">
                  <c:v>1892.4375195345369</c:v>
                </c:pt>
                <c:pt idx="7">
                  <c:v>1841.092765781611</c:v>
                </c:pt>
                <c:pt idx="8">
                  <c:v>1791.3019956947869</c:v>
                </c:pt>
                <c:pt idx="9">
                  <c:v>1743.0147299885189</c:v>
                </c:pt>
                <c:pt idx="10">
                  <c:v>1696.1822306533916</c:v>
                </c:pt>
                <c:pt idx="11">
                  <c:v>1650.7574375228096</c:v>
                </c:pt>
                <c:pt idx="12">
                  <c:v>1606.694907270813</c:v>
                </c:pt>
                <c:pt idx="13">
                  <c:v>1563.9507547432881</c:v>
                </c:pt>
                <c:pt idx="14">
                  <c:v>1522.4825965289565</c:v>
                </c:pt>
              </c:numCache>
            </c:numRef>
          </c:val>
          <c:smooth val="0"/>
          <c:extLst>
            <c:ext xmlns:c16="http://schemas.microsoft.com/office/drawing/2014/chart" uri="{C3380CC4-5D6E-409C-BE32-E72D297353CC}">
              <c16:uniqueId val="{00000000-9F11-429B-B5AA-FE89FBD7026E}"/>
            </c:ext>
          </c:extLst>
        </c:ser>
        <c:ser>
          <c:idx val="1"/>
          <c:order val="1"/>
          <c:tx>
            <c:strRef>
              <c:f>'BP vs r vs T'!$R$6</c:f>
              <c:strCache>
                <c:ptCount val="1"/>
                <c:pt idx="0">
                  <c:v>5</c:v>
                </c:pt>
              </c:strCache>
            </c:strRef>
          </c:tx>
          <c:spPr>
            <a:ln w="22225" cap="rnd" cmpd="sng" algn="ctr">
              <a:solidFill>
                <a:schemeClr val="accent2"/>
              </a:solidFill>
              <a:round/>
            </a:ln>
            <a:effectLst/>
          </c:spPr>
          <c:marker>
            <c:symbol val="none"/>
          </c:marker>
          <c:cat>
            <c:numRef>
              <c:f>'BP vs r vs T'!$P$7:$P$21</c:f>
              <c:numCache>
                <c:formatCode>General</c:formatCode>
                <c:ptCount val="15"/>
                <c:pt idx="0">
                  <c:v>0.01</c:v>
                </c:pt>
                <c:pt idx="1">
                  <c:v>0.02</c:v>
                </c:pt>
                <c:pt idx="2">
                  <c:v>0.03</c:v>
                </c:pt>
                <c:pt idx="3">
                  <c:v>0.04</c:v>
                </c:pt>
                <c:pt idx="4">
                  <c:v>0.05</c:v>
                </c:pt>
                <c:pt idx="5">
                  <c:v>0.06</c:v>
                </c:pt>
                <c:pt idx="6">
                  <c:v>7.0000000000000007E-2</c:v>
                </c:pt>
                <c:pt idx="7">
                  <c:v>0.08</c:v>
                </c:pt>
                <c:pt idx="8">
                  <c:v>0.09</c:v>
                </c:pt>
                <c:pt idx="9">
                  <c:v>0.1</c:v>
                </c:pt>
                <c:pt idx="10">
                  <c:v>0.11</c:v>
                </c:pt>
                <c:pt idx="11">
                  <c:v>0.12</c:v>
                </c:pt>
                <c:pt idx="12">
                  <c:v>0.13</c:v>
                </c:pt>
                <c:pt idx="13">
                  <c:v>0.14000000000000001</c:v>
                </c:pt>
                <c:pt idx="14">
                  <c:v>0.15</c:v>
                </c:pt>
              </c:numCache>
            </c:numRef>
          </c:cat>
          <c:val>
            <c:numRef>
              <c:f>'BP vs r vs T'!$R$7:$R$21</c:f>
              <c:numCache>
                <c:formatCode>General</c:formatCode>
                <c:ptCount val="15"/>
                <c:pt idx="0">
                  <c:v>2389.7846092999389</c:v>
                </c:pt>
                <c:pt idx="1">
                  <c:v>2284.9462328462641</c:v>
                </c:pt>
                <c:pt idx="2">
                  <c:v>2185.208214472721</c:v>
                </c:pt>
                <c:pt idx="3">
                  <c:v>2090.3087377262382</c:v>
                </c:pt>
                <c:pt idx="4">
                  <c:v>2000</c:v>
                </c:pt>
                <c:pt idx="5">
                  <c:v>1914.0474342225207</c:v>
                </c:pt>
                <c:pt idx="6">
                  <c:v>1832.2289752746667</c:v>
                </c:pt>
                <c:pt idx="7">
                  <c:v>1754.3343684800025</c:v>
                </c:pt>
                <c:pt idx="8">
                  <c:v>1680.1645176762977</c:v>
                </c:pt>
                <c:pt idx="9">
                  <c:v>1609.5308705282789</c:v>
                </c:pt>
                <c:pt idx="10">
                  <c:v>1542.2548388843516</c:v>
                </c:pt>
                <c:pt idx="11">
                  <c:v>1478.1672521137184</c:v>
                </c:pt>
                <c:pt idx="12">
                  <c:v>1417.1078414856368</c:v>
                </c:pt>
                <c:pt idx="13">
                  <c:v>1358.9247537700394</c:v>
                </c:pt>
                <c:pt idx="14">
                  <c:v>1303.4740923488789</c:v>
                </c:pt>
              </c:numCache>
            </c:numRef>
          </c:val>
          <c:smooth val="0"/>
          <c:extLst>
            <c:ext xmlns:c16="http://schemas.microsoft.com/office/drawing/2014/chart" uri="{C3380CC4-5D6E-409C-BE32-E72D297353CC}">
              <c16:uniqueId val="{00000001-9F11-429B-B5AA-FE89FBD7026E}"/>
            </c:ext>
          </c:extLst>
        </c:ser>
        <c:ser>
          <c:idx val="2"/>
          <c:order val="2"/>
          <c:tx>
            <c:strRef>
              <c:f>'BP vs r vs T'!$S$6</c:f>
              <c:strCache>
                <c:ptCount val="1"/>
                <c:pt idx="0">
                  <c:v>10</c:v>
                </c:pt>
              </c:strCache>
            </c:strRef>
          </c:tx>
          <c:spPr>
            <a:ln w="22225" cap="rnd" cmpd="sng" algn="ctr">
              <a:solidFill>
                <a:schemeClr val="accent3"/>
              </a:solidFill>
              <a:round/>
            </a:ln>
            <a:effectLst/>
          </c:spPr>
          <c:marker>
            <c:symbol val="none"/>
          </c:marker>
          <c:cat>
            <c:numRef>
              <c:f>'BP vs r vs T'!$P$7:$P$21</c:f>
              <c:numCache>
                <c:formatCode>General</c:formatCode>
                <c:ptCount val="15"/>
                <c:pt idx="0">
                  <c:v>0.01</c:v>
                </c:pt>
                <c:pt idx="1">
                  <c:v>0.02</c:v>
                </c:pt>
                <c:pt idx="2">
                  <c:v>0.03</c:v>
                </c:pt>
                <c:pt idx="3">
                  <c:v>0.04</c:v>
                </c:pt>
                <c:pt idx="4">
                  <c:v>0.05</c:v>
                </c:pt>
                <c:pt idx="5">
                  <c:v>0.06</c:v>
                </c:pt>
                <c:pt idx="6">
                  <c:v>7.0000000000000007E-2</c:v>
                </c:pt>
                <c:pt idx="7">
                  <c:v>0.08</c:v>
                </c:pt>
                <c:pt idx="8">
                  <c:v>0.09</c:v>
                </c:pt>
                <c:pt idx="9">
                  <c:v>0.1</c:v>
                </c:pt>
                <c:pt idx="10">
                  <c:v>0.11</c:v>
                </c:pt>
                <c:pt idx="11">
                  <c:v>0.12</c:v>
                </c:pt>
                <c:pt idx="12">
                  <c:v>0.13</c:v>
                </c:pt>
                <c:pt idx="13">
                  <c:v>0.14000000000000001</c:v>
                </c:pt>
                <c:pt idx="14">
                  <c:v>0.15</c:v>
                </c:pt>
              </c:numCache>
            </c:numRef>
          </c:cat>
          <c:val>
            <c:numRef>
              <c:f>'BP vs r vs T'!$S$7:$S$21</c:f>
              <c:numCache>
                <c:formatCode>General</c:formatCode>
                <c:ptCount val="15"/>
                <c:pt idx="0">
                  <c:v>2760.5777133939896</c:v>
                </c:pt>
                <c:pt idx="1">
                  <c:v>2542.8276804881016</c:v>
                </c:pt>
                <c:pt idx="2">
                  <c:v>2344.6898669143116</c:v>
                </c:pt>
                <c:pt idx="3">
                  <c:v>2164.3061392330633</c:v>
                </c:pt>
                <c:pt idx="4">
                  <c:v>2000</c:v>
                </c:pt>
                <c:pt idx="5">
                  <c:v>1850.2583991362367</c:v>
                </c:pt>
                <c:pt idx="6">
                  <c:v>1713.7154048397629</c:v>
                </c:pt>
                <c:pt idx="7">
                  <c:v>1589.1375403068307</c:v>
                </c:pt>
                <c:pt idx="8">
                  <c:v>1475.4106130749851</c:v>
                </c:pt>
                <c:pt idx="9">
                  <c:v>1371.5278821269615</c:v>
                </c:pt>
                <c:pt idx="10">
                  <c:v>1276.5794242497614</c:v>
                </c:pt>
                <c:pt idx="11">
                  <c:v>1189.7425757416202</c:v>
                </c:pt>
                <c:pt idx="12">
                  <c:v>1110.2733385930196</c:v>
                </c:pt>
                <c:pt idx="13">
                  <c:v>1037.4986519069266</c:v>
                </c:pt>
                <c:pt idx="14">
                  <c:v>970.80943971967122</c:v>
                </c:pt>
              </c:numCache>
            </c:numRef>
          </c:val>
          <c:smooth val="0"/>
          <c:extLst>
            <c:ext xmlns:c16="http://schemas.microsoft.com/office/drawing/2014/chart" uri="{C3380CC4-5D6E-409C-BE32-E72D297353CC}">
              <c16:uniqueId val="{00000002-9F11-429B-B5AA-FE89FBD7026E}"/>
            </c:ext>
          </c:extLst>
        </c:ser>
        <c:ser>
          <c:idx val="3"/>
          <c:order val="3"/>
          <c:tx>
            <c:strRef>
              <c:f>'BP vs r vs T'!$T$6</c:f>
              <c:strCache>
                <c:ptCount val="1"/>
                <c:pt idx="0">
                  <c:v>15</c:v>
                </c:pt>
              </c:strCache>
            </c:strRef>
          </c:tx>
          <c:spPr>
            <a:ln w="22225" cap="rnd" cmpd="sng" algn="ctr">
              <a:solidFill>
                <a:schemeClr val="accent4"/>
              </a:solidFill>
              <a:round/>
            </a:ln>
            <a:effectLst/>
          </c:spPr>
          <c:marker>
            <c:symbol val="none"/>
          </c:marker>
          <c:cat>
            <c:numRef>
              <c:f>'BP vs r vs T'!$P$7:$P$21</c:f>
              <c:numCache>
                <c:formatCode>General</c:formatCode>
                <c:ptCount val="15"/>
                <c:pt idx="0">
                  <c:v>0.01</c:v>
                </c:pt>
                <c:pt idx="1">
                  <c:v>0.02</c:v>
                </c:pt>
                <c:pt idx="2">
                  <c:v>0.03</c:v>
                </c:pt>
                <c:pt idx="3">
                  <c:v>0.04</c:v>
                </c:pt>
                <c:pt idx="4">
                  <c:v>0.05</c:v>
                </c:pt>
                <c:pt idx="5">
                  <c:v>0.06</c:v>
                </c:pt>
                <c:pt idx="6">
                  <c:v>7.0000000000000007E-2</c:v>
                </c:pt>
                <c:pt idx="7">
                  <c:v>0.08</c:v>
                </c:pt>
                <c:pt idx="8">
                  <c:v>0.09</c:v>
                </c:pt>
                <c:pt idx="9">
                  <c:v>0.1</c:v>
                </c:pt>
                <c:pt idx="10">
                  <c:v>0.11</c:v>
                </c:pt>
                <c:pt idx="11">
                  <c:v>0.12</c:v>
                </c:pt>
                <c:pt idx="12">
                  <c:v>0.13</c:v>
                </c:pt>
                <c:pt idx="13">
                  <c:v>0.14000000000000001</c:v>
                </c:pt>
                <c:pt idx="14">
                  <c:v>0.15</c:v>
                </c:pt>
              </c:numCache>
            </c:numRef>
          </c:cat>
          <c:val>
            <c:numRef>
              <c:f>'BP vs r vs T'!$T$7:$T$21</c:f>
              <c:numCache>
                <c:formatCode>General</c:formatCode>
                <c:ptCount val="15"/>
                <c:pt idx="0">
                  <c:v>3113.3046368367382</c:v>
                </c:pt>
                <c:pt idx="1">
                  <c:v>2776.215012454446</c:v>
                </c:pt>
                <c:pt idx="2">
                  <c:v>2482.0185352885028</c:v>
                </c:pt>
                <c:pt idx="3">
                  <c:v>2224.9383168896825</c:v>
                </c:pt>
                <c:pt idx="4">
                  <c:v>1999.9999999999998</c:v>
                </c:pt>
                <c:pt idx="5">
                  <c:v>1802.9178577523605</c:v>
                </c:pt>
                <c:pt idx="6">
                  <c:v>1629.9973349273723</c:v>
                </c:pt>
                <c:pt idx="7">
                  <c:v>1478.0516229580094</c:v>
                </c:pt>
                <c:pt idx="8">
                  <c:v>1344.3302177889725</c:v>
                </c:pt>
                <c:pt idx="9">
                  <c:v>1226.4577134183746</c:v>
                </c:pt>
                <c:pt idx="10">
                  <c:v>1122.3813421351838</c:v>
                </c:pt>
                <c:pt idx="11">
                  <c:v>1030.3259920233479</c:v>
                </c:pt>
                <c:pt idx="12">
                  <c:v>948.75561907983183</c:v>
                </c:pt>
                <c:pt idx="13">
                  <c:v>876.34013024119406</c:v>
                </c:pt>
                <c:pt idx="14">
                  <c:v>811.9269489274667</c:v>
                </c:pt>
              </c:numCache>
            </c:numRef>
          </c:val>
          <c:smooth val="0"/>
          <c:extLst>
            <c:ext xmlns:c16="http://schemas.microsoft.com/office/drawing/2014/chart" uri="{C3380CC4-5D6E-409C-BE32-E72D297353CC}">
              <c16:uniqueId val="{00000003-9F11-429B-B5AA-FE89FBD7026E}"/>
            </c:ext>
          </c:extLst>
        </c:ser>
        <c:ser>
          <c:idx val="4"/>
          <c:order val="4"/>
          <c:tx>
            <c:strRef>
              <c:f>'BP vs r vs T'!$U$6</c:f>
              <c:strCache>
                <c:ptCount val="1"/>
                <c:pt idx="0">
                  <c:v>20</c:v>
                </c:pt>
              </c:strCache>
            </c:strRef>
          </c:tx>
          <c:spPr>
            <a:ln w="22225" cap="rnd" cmpd="sng" algn="ctr">
              <a:solidFill>
                <a:schemeClr val="accent5"/>
              </a:solidFill>
              <a:round/>
            </a:ln>
            <a:effectLst/>
          </c:spPr>
          <c:marker>
            <c:symbol val="none"/>
          </c:marker>
          <c:cat>
            <c:numRef>
              <c:f>'BP vs r vs T'!$P$7:$P$21</c:f>
              <c:numCache>
                <c:formatCode>General</c:formatCode>
                <c:ptCount val="15"/>
                <c:pt idx="0">
                  <c:v>0.01</c:v>
                </c:pt>
                <c:pt idx="1">
                  <c:v>0.02</c:v>
                </c:pt>
                <c:pt idx="2">
                  <c:v>0.03</c:v>
                </c:pt>
                <c:pt idx="3">
                  <c:v>0.04</c:v>
                </c:pt>
                <c:pt idx="4">
                  <c:v>0.05</c:v>
                </c:pt>
                <c:pt idx="5">
                  <c:v>0.06</c:v>
                </c:pt>
                <c:pt idx="6">
                  <c:v>7.0000000000000007E-2</c:v>
                </c:pt>
                <c:pt idx="7">
                  <c:v>0.08</c:v>
                </c:pt>
                <c:pt idx="8">
                  <c:v>0.09</c:v>
                </c:pt>
                <c:pt idx="9">
                  <c:v>0.1</c:v>
                </c:pt>
                <c:pt idx="10">
                  <c:v>0.11</c:v>
                </c:pt>
                <c:pt idx="11">
                  <c:v>0.12</c:v>
                </c:pt>
                <c:pt idx="12">
                  <c:v>0.13</c:v>
                </c:pt>
                <c:pt idx="13">
                  <c:v>0.14000000000000001</c:v>
                </c:pt>
                <c:pt idx="14">
                  <c:v>0.15</c:v>
                </c:pt>
              </c:numCache>
            </c:numRef>
          </c:cat>
          <c:val>
            <c:numRef>
              <c:f>'BP vs r vs T'!$U$7:$U$21</c:f>
              <c:numCache>
                <c:formatCode>General</c:formatCode>
                <c:ptCount val="15"/>
                <c:pt idx="0">
                  <c:v>3448.8456195240251</c:v>
                </c:pt>
                <c:pt idx="1">
                  <c:v>2987.4347307415064</c:v>
                </c:pt>
                <c:pt idx="2">
                  <c:v>2600.2714055635688</c:v>
                </c:pt>
                <c:pt idx="3">
                  <c:v>2274.6192636867772</c:v>
                </c:pt>
                <c:pt idx="4">
                  <c:v>2000</c:v>
                </c:pt>
                <c:pt idx="5">
                  <c:v>1767.7844393602013</c:v>
                </c:pt>
                <c:pt idx="6">
                  <c:v>1570.8588311751325</c:v>
                </c:pt>
                <c:pt idx="7">
                  <c:v>1403.3523616604898</c:v>
                </c:pt>
                <c:pt idx="8">
                  <c:v>1260.4145041336287</c:v>
                </c:pt>
                <c:pt idx="9">
                  <c:v>1138.0329671977456</c:v>
                </c:pt>
                <c:pt idx="10">
                  <c:v>1032.8847338000955</c:v>
                </c:pt>
                <c:pt idx="11">
                  <c:v>942.21408882537526</c:v>
                </c:pt>
                <c:pt idx="12">
                  <c:v>863.73267195099857</c:v>
                </c:pt>
                <c:pt idx="13">
                  <c:v>795.53751665461823</c:v>
                </c:pt>
                <c:pt idx="14">
                  <c:v>736.04378646694522</c:v>
                </c:pt>
              </c:numCache>
            </c:numRef>
          </c:val>
          <c:smooth val="0"/>
          <c:extLst>
            <c:ext xmlns:c16="http://schemas.microsoft.com/office/drawing/2014/chart" uri="{C3380CC4-5D6E-409C-BE32-E72D297353CC}">
              <c16:uniqueId val="{00000004-9F11-429B-B5AA-FE89FBD7026E}"/>
            </c:ext>
          </c:extLst>
        </c:ser>
        <c:ser>
          <c:idx val="5"/>
          <c:order val="5"/>
          <c:tx>
            <c:strRef>
              <c:f>'BP vs r vs T'!$V$6</c:f>
              <c:strCache>
                <c:ptCount val="1"/>
                <c:pt idx="0">
                  <c:v>25</c:v>
                </c:pt>
              </c:strCache>
            </c:strRef>
          </c:tx>
          <c:spPr>
            <a:ln w="22225" cap="rnd" cmpd="sng" algn="ctr">
              <a:solidFill>
                <a:schemeClr val="accent6"/>
              </a:solidFill>
              <a:round/>
            </a:ln>
            <a:effectLst/>
          </c:spPr>
          <c:marker>
            <c:symbol val="none"/>
          </c:marker>
          <c:cat>
            <c:numRef>
              <c:f>'BP vs r vs T'!$P$7:$P$21</c:f>
              <c:numCache>
                <c:formatCode>General</c:formatCode>
                <c:ptCount val="15"/>
                <c:pt idx="0">
                  <c:v>0.01</c:v>
                </c:pt>
                <c:pt idx="1">
                  <c:v>0.02</c:v>
                </c:pt>
                <c:pt idx="2">
                  <c:v>0.03</c:v>
                </c:pt>
                <c:pt idx="3">
                  <c:v>0.04</c:v>
                </c:pt>
                <c:pt idx="4">
                  <c:v>0.05</c:v>
                </c:pt>
                <c:pt idx="5">
                  <c:v>0.06</c:v>
                </c:pt>
                <c:pt idx="6">
                  <c:v>7.0000000000000007E-2</c:v>
                </c:pt>
                <c:pt idx="7">
                  <c:v>0.08</c:v>
                </c:pt>
                <c:pt idx="8">
                  <c:v>0.09</c:v>
                </c:pt>
                <c:pt idx="9">
                  <c:v>0.1</c:v>
                </c:pt>
                <c:pt idx="10">
                  <c:v>0.11</c:v>
                </c:pt>
                <c:pt idx="11">
                  <c:v>0.12</c:v>
                </c:pt>
                <c:pt idx="12">
                  <c:v>0.13</c:v>
                </c:pt>
                <c:pt idx="13">
                  <c:v>0.14000000000000001</c:v>
                </c:pt>
                <c:pt idx="14">
                  <c:v>0.15</c:v>
                </c:pt>
              </c:numCache>
            </c:numRef>
          </c:cat>
          <c:val>
            <c:numRef>
              <c:f>'BP vs r vs T'!$V$7:$V$21</c:f>
              <c:numCache>
                <c:formatCode>General</c:formatCode>
                <c:ptCount val="15"/>
                <c:pt idx="0">
                  <c:v>3768.0380133562012</c:v>
                </c:pt>
                <c:pt idx="1">
                  <c:v>3178.5923613523173</c:v>
                </c:pt>
                <c:pt idx="2">
                  <c:v>2702.0982236186956</c:v>
                </c:pt>
                <c:pt idx="3">
                  <c:v>2315.3269632952915</c:v>
                </c:pt>
                <c:pt idx="4">
                  <c:v>2000</c:v>
                </c:pt>
                <c:pt idx="5">
                  <c:v>1741.7104433340614</c:v>
                </c:pt>
                <c:pt idx="6">
                  <c:v>1529.0833503295557</c:v>
                </c:pt>
                <c:pt idx="7">
                  <c:v>1353.12115529728</c:v>
                </c:pt>
                <c:pt idx="8">
                  <c:v>1206.6929160737163</c:v>
                </c:pt>
                <c:pt idx="9">
                  <c:v>1084.1353546576431</c:v>
                </c:pt>
                <c:pt idx="10">
                  <c:v>980.9408782498524</c:v>
                </c:pt>
                <c:pt idx="11">
                  <c:v>893.51333697079258</c:v>
                </c:pt>
                <c:pt idx="12">
                  <c:v>818.97658227699765</c:v>
                </c:pt>
                <c:pt idx="13">
                  <c:v>755.02422393551672</c:v>
                </c:pt>
                <c:pt idx="14">
                  <c:v>699.8015654626131</c:v>
                </c:pt>
              </c:numCache>
            </c:numRef>
          </c:val>
          <c:smooth val="0"/>
          <c:extLst>
            <c:ext xmlns:c16="http://schemas.microsoft.com/office/drawing/2014/chart" uri="{C3380CC4-5D6E-409C-BE32-E72D297353CC}">
              <c16:uniqueId val="{00000005-9F11-429B-B5AA-FE89FBD7026E}"/>
            </c:ext>
          </c:extLst>
        </c:ser>
        <c:ser>
          <c:idx val="6"/>
          <c:order val="6"/>
          <c:tx>
            <c:strRef>
              <c:f>'BP vs r vs T'!$W$6</c:f>
              <c:strCache>
                <c:ptCount val="1"/>
                <c:pt idx="0">
                  <c:v>30</c:v>
                </c:pt>
              </c:strCache>
            </c:strRef>
          </c:tx>
          <c:spPr>
            <a:ln w="22225" cap="rnd" cmpd="sng" algn="ctr">
              <a:solidFill>
                <a:schemeClr val="accent1">
                  <a:lumMod val="60000"/>
                </a:schemeClr>
              </a:solidFill>
              <a:round/>
            </a:ln>
            <a:effectLst/>
          </c:spPr>
          <c:marker>
            <c:symbol val="none"/>
          </c:marker>
          <c:cat>
            <c:numRef>
              <c:f>'BP vs r vs T'!$P$7:$P$21</c:f>
              <c:numCache>
                <c:formatCode>General</c:formatCode>
                <c:ptCount val="15"/>
                <c:pt idx="0">
                  <c:v>0.01</c:v>
                </c:pt>
                <c:pt idx="1">
                  <c:v>0.02</c:v>
                </c:pt>
                <c:pt idx="2">
                  <c:v>0.03</c:v>
                </c:pt>
                <c:pt idx="3">
                  <c:v>0.04</c:v>
                </c:pt>
                <c:pt idx="4">
                  <c:v>0.05</c:v>
                </c:pt>
                <c:pt idx="5">
                  <c:v>0.06</c:v>
                </c:pt>
                <c:pt idx="6">
                  <c:v>7.0000000000000007E-2</c:v>
                </c:pt>
                <c:pt idx="7">
                  <c:v>0.08</c:v>
                </c:pt>
                <c:pt idx="8">
                  <c:v>0.09</c:v>
                </c:pt>
                <c:pt idx="9">
                  <c:v>0.1</c:v>
                </c:pt>
                <c:pt idx="10">
                  <c:v>0.11</c:v>
                </c:pt>
                <c:pt idx="11">
                  <c:v>0.12</c:v>
                </c:pt>
                <c:pt idx="12">
                  <c:v>0.13</c:v>
                </c:pt>
                <c:pt idx="13">
                  <c:v>0.14000000000000001</c:v>
                </c:pt>
                <c:pt idx="14">
                  <c:v>0.15</c:v>
                </c:pt>
              </c:numCache>
            </c:numRef>
          </c:cat>
          <c:val>
            <c:numRef>
              <c:f>'BP vs r vs T'!$W$7:$W$21</c:f>
              <c:numCache>
                <c:formatCode>General</c:formatCode>
                <c:ptCount val="15"/>
                <c:pt idx="0">
                  <c:v>4071.678371873204</c:v>
                </c:pt>
                <c:pt idx="1">
                  <c:v>3351.5934430556731</c:v>
                </c:pt>
                <c:pt idx="2">
                  <c:v>2789.7806693057505</c:v>
                </c:pt>
                <c:pt idx="3">
                  <c:v>2348.6821409690383</c:v>
                </c:pt>
                <c:pt idx="4">
                  <c:v>2000</c:v>
                </c:pt>
                <c:pt idx="5">
                  <c:v>1722.359827883477</c:v>
                </c:pt>
                <c:pt idx="6">
                  <c:v>1499.573121136227</c:v>
                </c:pt>
                <c:pt idx="7">
                  <c:v>1319.3433903117093</c:v>
                </c:pt>
                <c:pt idx="8">
                  <c:v>1172.3011567956833</c:v>
                </c:pt>
                <c:pt idx="9">
                  <c:v>1051.2830959666787</c:v>
                </c:pt>
                <c:pt idx="10">
                  <c:v>950.79265051677214</c:v>
                </c:pt>
                <c:pt idx="11">
                  <c:v>866.59571125712807</c:v>
                </c:pt>
                <c:pt idx="12">
                  <c:v>795.41697124784844</c:v>
                </c:pt>
                <c:pt idx="13">
                  <c:v>734.71142940956997</c:v>
                </c:pt>
                <c:pt idx="14">
                  <c:v>682.49207886853219</c:v>
                </c:pt>
              </c:numCache>
            </c:numRef>
          </c:val>
          <c:smooth val="0"/>
          <c:extLst>
            <c:ext xmlns:c16="http://schemas.microsoft.com/office/drawing/2014/chart" uri="{C3380CC4-5D6E-409C-BE32-E72D297353CC}">
              <c16:uniqueId val="{00000006-9F11-429B-B5AA-FE89FBD7026E}"/>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315014079"/>
        <c:axId val="315015039"/>
      </c:lineChart>
      <c:catAx>
        <c:axId val="315014079"/>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315015039"/>
        <c:crosses val="autoZero"/>
        <c:auto val="1"/>
        <c:lblAlgn val="ctr"/>
        <c:lblOffset val="100"/>
        <c:noMultiLvlLbl val="0"/>
      </c:catAx>
      <c:valAx>
        <c:axId val="31501503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315014079"/>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Dur vs Cpr</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IN"/>
        </a:p>
      </c:txPr>
    </c:title>
    <c:autoTitleDeleted val="0"/>
    <c:plotArea>
      <c:layout/>
      <c:lineChart>
        <c:grouping val="standard"/>
        <c:varyColors val="0"/>
        <c:ser>
          <c:idx val="0"/>
          <c:order val="0"/>
          <c:tx>
            <c:strRef>
              <c:f>'Dur vs Cpr'!$G$6</c:f>
              <c:strCache>
                <c:ptCount val="1"/>
                <c:pt idx="0">
                  <c:v>2.858998673</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numRef>
              <c:f>'Dur vs Cpr'!$F$7:$F$21</c:f>
              <c:numCache>
                <c:formatCode>General</c:formatCode>
                <c:ptCount val="15"/>
                <c:pt idx="0">
                  <c:v>0.01</c:v>
                </c:pt>
                <c:pt idx="1">
                  <c:v>0.02</c:v>
                </c:pt>
                <c:pt idx="2">
                  <c:v>0.03</c:v>
                </c:pt>
                <c:pt idx="3">
                  <c:v>0.04</c:v>
                </c:pt>
                <c:pt idx="4">
                  <c:v>0.05</c:v>
                </c:pt>
                <c:pt idx="5">
                  <c:v>0.06</c:v>
                </c:pt>
                <c:pt idx="6">
                  <c:v>7.0000000000000007E-2</c:v>
                </c:pt>
                <c:pt idx="7">
                  <c:v>0.08</c:v>
                </c:pt>
                <c:pt idx="8">
                  <c:v>0.09</c:v>
                </c:pt>
                <c:pt idx="9">
                  <c:v>0.1</c:v>
                </c:pt>
                <c:pt idx="10">
                  <c:v>0.11</c:v>
                </c:pt>
                <c:pt idx="11">
                  <c:v>0.12</c:v>
                </c:pt>
                <c:pt idx="12">
                  <c:v>0.13</c:v>
                </c:pt>
                <c:pt idx="13">
                  <c:v>0.14000000000000001</c:v>
                </c:pt>
                <c:pt idx="14">
                  <c:v>0.15</c:v>
                </c:pt>
              </c:numCache>
            </c:numRef>
          </c:cat>
          <c:val>
            <c:numRef>
              <c:f>'Dur vs Cpr'!$G$7:$G$21</c:f>
              <c:numCache>
                <c:formatCode>General</c:formatCode>
                <c:ptCount val="15"/>
                <c:pt idx="0">
                  <c:v>2.96834578301798</c:v>
                </c:pt>
                <c:pt idx="1">
                  <c:v>2.9385724678314205</c:v>
                </c:pt>
                <c:pt idx="2">
                  <c:v>2.9105172459906141</c:v>
                </c:pt>
                <c:pt idx="3">
                  <c:v>2.8840355720916699</c:v>
                </c:pt>
                <c:pt idx="4">
                  <c:v>2.8589986728100159</c:v>
                </c:pt>
                <c:pt idx="5">
                  <c:v>2.8352914528104995</c:v>
                </c:pt>
                <c:pt idx="6">
                  <c:v>2.8128107256706785</c:v>
                </c:pt>
                <c:pt idx="7">
                  <c:v>2.7914637124502768</c:v>
                </c:pt>
                <c:pt idx="8">
                  <c:v>2.7711667618273901</c:v>
                </c:pt>
                <c:pt idx="9">
                  <c:v>2.7518442545709672</c:v>
                </c:pt>
                <c:pt idx="10">
                  <c:v>2.7334276621011493</c:v>
                </c:pt>
                <c:pt idx="11">
                  <c:v>2.7158547344317712</c:v>
                </c:pt>
                <c:pt idx="12">
                  <c:v>2.6990687972150234</c:v>
                </c:pt>
                <c:pt idx="13">
                  <c:v>2.6830181411616278</c:v>
                </c:pt>
                <c:pt idx="14">
                  <c:v>2.6676554899777827</c:v>
                </c:pt>
              </c:numCache>
            </c:numRef>
          </c:val>
          <c:smooth val="0"/>
          <c:extLst>
            <c:ext xmlns:c16="http://schemas.microsoft.com/office/drawing/2014/chart" uri="{C3380CC4-5D6E-409C-BE32-E72D297353CC}">
              <c16:uniqueId val="{00000000-177E-4394-9694-7BE4D7340262}"/>
            </c:ext>
          </c:extLst>
        </c:ser>
        <c:dLbls>
          <c:showLegendKey val="0"/>
          <c:showVal val="0"/>
          <c:showCatName val="0"/>
          <c:showSerName val="0"/>
          <c:showPercent val="0"/>
          <c:showBubbleSize val="0"/>
        </c:dLbls>
        <c:marker val="1"/>
        <c:smooth val="0"/>
        <c:axId val="1852571775"/>
        <c:axId val="1852572255"/>
      </c:lineChart>
      <c:catAx>
        <c:axId val="185257177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852572255"/>
        <c:crosses val="autoZero"/>
        <c:auto val="1"/>
        <c:lblAlgn val="ctr"/>
        <c:lblOffset val="100"/>
        <c:noMultiLvlLbl val="0"/>
      </c:catAx>
      <c:valAx>
        <c:axId val="1852572255"/>
        <c:scaling>
          <c:orientation val="minMax"/>
        </c:scaling>
        <c:delete val="0"/>
        <c:axPos val="l"/>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25717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Dur vs m</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IN"/>
        </a:p>
      </c:txPr>
    </c:title>
    <c:autoTitleDeleted val="0"/>
    <c:plotArea>
      <c:layout/>
      <c:lineChart>
        <c:grouping val="standard"/>
        <c:varyColors val="0"/>
        <c:ser>
          <c:idx val="0"/>
          <c:order val="0"/>
          <c:tx>
            <c:strRef>
              <c:f>'Dur vs m'!$F$6</c:f>
              <c:strCache>
                <c:ptCount val="1"/>
                <c:pt idx="0">
                  <c:v>2.858998673</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numRef>
              <c:f>'Dur vs m'!$E$7:$E$21</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'Dur vs m'!$F$7:$F$21</c:f>
              <c:numCache>
                <c:formatCode>General</c:formatCode>
                <c:ptCount val="15"/>
                <c:pt idx="0">
                  <c:v>2.8589986728100159</c:v>
                </c:pt>
                <c:pt idx="1">
                  <c:v>2.8223346914430221</c:v>
                </c:pt>
                <c:pt idx="2">
                  <c:v>2.809979543332243</c:v>
                </c:pt>
                <c:pt idx="3">
                  <c:v>2.8037764123429758</c:v>
                </c:pt>
                <c:pt idx="4">
                  <c:v>2.800046294521862</c:v>
                </c:pt>
                <c:pt idx="5">
                  <c:v>2.7975561020326594</c:v>
                </c:pt>
                <c:pt idx="6">
                  <c:v>2.7957757001336159</c:v>
                </c:pt>
                <c:pt idx="7">
                  <c:v>2.7944394711262563</c:v>
                </c:pt>
                <c:pt idx="8">
                  <c:v>2.7933996314555412</c:v>
                </c:pt>
                <c:pt idx="9">
                  <c:v>2.7925674125680175</c:v>
                </c:pt>
                <c:pt idx="10">
                  <c:v>2.7918862764882562</c:v>
                </c:pt>
                <c:pt idx="11">
                  <c:v>2.7913185050479439</c:v>
                </c:pt>
                <c:pt idx="12">
                  <c:v>2.7908379707769719</c:v>
                </c:pt>
                <c:pt idx="13">
                  <c:v>2.7904260022982172</c:v>
                </c:pt>
                <c:pt idx="14">
                  <c:v>2.7900689017270079</c:v>
                </c:pt>
              </c:numCache>
            </c:numRef>
          </c:val>
          <c:smooth val="0"/>
          <c:extLst>
            <c:ext xmlns:c16="http://schemas.microsoft.com/office/drawing/2014/chart" uri="{C3380CC4-5D6E-409C-BE32-E72D297353CC}">
              <c16:uniqueId val="{00000000-4A6E-4EC9-977F-BFAD8E8BD6CC}"/>
            </c:ext>
          </c:extLst>
        </c:ser>
        <c:dLbls>
          <c:showLegendKey val="0"/>
          <c:showVal val="0"/>
          <c:showCatName val="0"/>
          <c:showSerName val="0"/>
          <c:showPercent val="0"/>
          <c:showBubbleSize val="0"/>
        </c:dLbls>
        <c:marker val="1"/>
        <c:smooth val="0"/>
        <c:axId val="858861535"/>
        <c:axId val="315015519"/>
      </c:lineChart>
      <c:catAx>
        <c:axId val="8588615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315015519"/>
        <c:crosses val="autoZero"/>
        <c:auto val="1"/>
        <c:lblAlgn val="ctr"/>
        <c:lblOffset val="100"/>
        <c:noMultiLvlLbl val="0"/>
      </c:catAx>
      <c:valAx>
        <c:axId val="315015519"/>
        <c:scaling>
          <c:orientation val="minMax"/>
        </c:scaling>
        <c:delete val="0"/>
        <c:axPos val="l"/>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88615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Dur vs r</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IN"/>
        </a:p>
      </c:txPr>
    </c:title>
    <c:autoTitleDeleted val="0"/>
    <c:plotArea>
      <c:layout/>
      <c:lineChart>
        <c:grouping val="standard"/>
        <c:varyColors val="0"/>
        <c:ser>
          <c:idx val="0"/>
          <c:order val="0"/>
          <c:tx>
            <c:strRef>
              <c:f>'Dur vs r'!$F$6</c:f>
              <c:strCache>
                <c:ptCount val="1"/>
                <c:pt idx="0">
                  <c:v>2.858998673</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numRef>
              <c:f>'Dur vs r'!$E$7:$E$21</c:f>
              <c:numCache>
                <c:formatCode>General</c:formatCode>
                <c:ptCount val="15"/>
                <c:pt idx="0">
                  <c:v>0.01</c:v>
                </c:pt>
                <c:pt idx="1">
                  <c:v>0.02</c:v>
                </c:pt>
                <c:pt idx="2">
                  <c:v>0.03</c:v>
                </c:pt>
                <c:pt idx="3">
                  <c:v>0.04</c:v>
                </c:pt>
                <c:pt idx="4">
                  <c:v>0.05</c:v>
                </c:pt>
                <c:pt idx="5">
                  <c:v>0.06</c:v>
                </c:pt>
                <c:pt idx="6">
                  <c:v>7.0000000000000007E-2</c:v>
                </c:pt>
                <c:pt idx="7">
                  <c:v>0.08</c:v>
                </c:pt>
                <c:pt idx="8">
                  <c:v>0.09</c:v>
                </c:pt>
                <c:pt idx="9">
                  <c:v>0.1</c:v>
                </c:pt>
                <c:pt idx="10">
                  <c:v>0.11</c:v>
                </c:pt>
                <c:pt idx="11">
                  <c:v>0.12</c:v>
                </c:pt>
                <c:pt idx="12">
                  <c:v>0.13</c:v>
                </c:pt>
                <c:pt idx="13">
                  <c:v>0.14000000000000001</c:v>
                </c:pt>
                <c:pt idx="14">
                  <c:v>0.15</c:v>
                </c:pt>
              </c:numCache>
            </c:numRef>
          </c:cat>
          <c:val>
            <c:numRef>
              <c:f>'Dur vs r'!$F$7:$F$21</c:f>
              <c:numCache>
                <c:formatCode>General</c:formatCode>
                <c:ptCount val="15"/>
                <c:pt idx="0">
                  <c:v>2.867555937664187</c:v>
                </c:pt>
                <c:pt idx="1">
                  <c:v>2.8655357235780814</c:v>
                </c:pt>
                <c:pt idx="2">
                  <c:v>2.8635046706711305</c:v>
                </c:pt>
                <c:pt idx="3">
                  <c:v>2.8614628745415538</c:v>
                </c:pt>
                <c:pt idx="4">
                  <c:v>2.8594104308390018</c:v>
                </c:pt>
                <c:pt idx="5">
                  <c:v>2.8573474352559569</c:v>
                </c:pt>
                <c:pt idx="6">
                  <c:v>2.8552739835192056</c:v>
                </c:pt>
                <c:pt idx="7">
                  <c:v>2.853190171381375</c:v>
                </c:pt>
                <c:pt idx="8">
                  <c:v>2.851096094612533</c:v>
                </c:pt>
                <c:pt idx="9">
                  <c:v>2.8489918489918487</c:v>
                </c:pt>
                <c:pt idx="10">
                  <c:v>2.8468775302993303</c:v>
                </c:pt>
                <c:pt idx="11">
                  <c:v>2.8447532343076189</c:v>
                </c:pt>
                <c:pt idx="12">
                  <c:v>2.8426190567738581</c:v>
                </c:pt>
                <c:pt idx="13">
                  <c:v>2.8404750934316292</c:v>
                </c:pt>
                <c:pt idx="14">
                  <c:v>2.8383214399829586</c:v>
                </c:pt>
              </c:numCache>
            </c:numRef>
          </c:val>
          <c:smooth val="0"/>
          <c:extLst>
            <c:ext xmlns:c16="http://schemas.microsoft.com/office/drawing/2014/chart" uri="{C3380CC4-5D6E-409C-BE32-E72D297353CC}">
              <c16:uniqueId val="{00000000-6F9F-4354-B99B-0E3932FB16C7}"/>
            </c:ext>
          </c:extLst>
        </c:ser>
        <c:dLbls>
          <c:showLegendKey val="0"/>
          <c:showVal val="0"/>
          <c:showCatName val="0"/>
          <c:showSerName val="0"/>
          <c:showPercent val="0"/>
          <c:showBubbleSize val="0"/>
        </c:dLbls>
        <c:marker val="1"/>
        <c:smooth val="0"/>
        <c:axId val="1851403231"/>
        <c:axId val="1851402751"/>
      </c:lineChart>
      <c:catAx>
        <c:axId val="18514032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851402751"/>
        <c:crosses val="autoZero"/>
        <c:auto val="1"/>
        <c:lblAlgn val="ctr"/>
        <c:lblOffset val="100"/>
        <c:noMultiLvlLbl val="0"/>
      </c:catAx>
      <c:valAx>
        <c:axId val="1851402751"/>
        <c:scaling>
          <c:orientation val="minMax"/>
        </c:scaling>
        <c:delete val="0"/>
        <c:axPos val="l"/>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14032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Schedule Mortgage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IO</c:v>
          </c:tx>
          <c:spPr>
            <a:ln w="34925" cap="rnd">
              <a:solidFill>
                <a:schemeClr val="accent1"/>
              </a:solidFill>
              <a:round/>
            </a:ln>
            <a:effectLst>
              <a:outerShdw blurRad="57150" dist="19050" dir="5400000" algn="ctr" rotWithShape="0">
                <a:srgbClr val="000000">
                  <a:alpha val="63000"/>
                </a:srgbClr>
              </a:outerShdw>
            </a:effectLst>
          </c:spPr>
          <c:marker>
            <c:symbol val="none"/>
          </c:marker>
          <c:val>
            <c:numRef>
              <c:f>Schedule!$D$15:$D$269</c:f>
              <c:numCache>
                <c:formatCode>General</c:formatCode>
                <c:ptCount val="255"/>
                <c:pt idx="0">
                  <c:v>600</c:v>
                </c:pt>
                <c:pt idx="1">
                  <c:v>598.960032527007</c:v>
                </c:pt>
                <c:pt idx="2">
                  <c:v>597.91382524917594</c:v>
                </c:pt>
                <c:pt idx="3">
                  <c:v>596.86134072767811</c:v>
                </c:pt>
                <c:pt idx="4">
                  <c:v>595.8025412990512</c:v>
                </c:pt>
                <c:pt idx="5">
                  <c:v>594.73738907385246</c:v>
                </c:pt>
                <c:pt idx="6">
                  <c:v>593.66584593530263</c:v>
                </c:pt>
                <c:pt idx="7">
                  <c:v>592.58787353792138</c:v>
                </c:pt>
                <c:pt idx="8">
                  <c:v>591.50343330615601</c:v>
                </c:pt>
                <c:pt idx="9">
                  <c:v>590.41248643299991</c:v>
                </c:pt>
                <c:pt idx="10">
                  <c:v>589.31499387860481</c:v>
                </c:pt>
                <c:pt idx="11">
                  <c:v>588.21091636888355</c:v>
                </c:pt>
                <c:pt idx="12">
                  <c:v>587.10021439410377</c:v>
                </c:pt>
                <c:pt idx="13">
                  <c:v>585.9828482074754</c:v>
                </c:pt>
                <c:pt idx="14">
                  <c:v>584.85877782372722</c:v>
                </c:pt>
                <c:pt idx="15">
                  <c:v>583.72796301767664</c:v>
                </c:pt>
                <c:pt idx="16">
                  <c:v>582.5903633227897</c:v>
                </c:pt>
                <c:pt idx="17">
                  <c:v>581.4459380297335</c:v>
                </c:pt>
                <c:pt idx="18">
                  <c:v>580.29464618491897</c:v>
                </c:pt>
                <c:pt idx="19">
                  <c:v>579.13644658903536</c:v>
                </c:pt>
                <c:pt idx="20">
                  <c:v>577.97129779557656</c:v>
                </c:pt>
                <c:pt idx="21">
                  <c:v>576.79915810935711</c:v>
                </c:pt>
                <c:pt idx="22">
                  <c:v>575.61998558502023</c:v>
                </c:pt>
                <c:pt idx="23">
                  <c:v>574.43373802553742</c:v>
                </c:pt>
                <c:pt idx="24">
                  <c:v>573.24037298069754</c:v>
                </c:pt>
                <c:pt idx="25">
                  <c:v>572.03984774558876</c:v>
                </c:pt>
                <c:pt idx="26">
                  <c:v>570.83211935906934</c:v>
                </c:pt>
                <c:pt idx="27">
                  <c:v>569.61714460223061</c:v>
                </c:pt>
                <c:pt idx="28">
                  <c:v>568.39487999685105</c:v>
                </c:pt>
                <c:pt idx="29">
                  <c:v>567.16528180383921</c:v>
                </c:pt>
                <c:pt idx="30">
                  <c:v>565.92830602166919</c:v>
                </c:pt>
                <c:pt idx="31">
                  <c:v>564.68390838480627</c:v>
                </c:pt>
                <c:pt idx="32">
                  <c:v>563.43204436212216</c:v>
                </c:pt>
                <c:pt idx="33">
                  <c:v>562.17266915530183</c:v>
                </c:pt>
                <c:pt idx="34">
                  <c:v>560.90573769724062</c:v>
                </c:pt>
                <c:pt idx="35">
                  <c:v>559.63120465043107</c:v>
                </c:pt>
                <c:pt idx="36">
                  <c:v>558.34902440534074</c:v>
                </c:pt>
                <c:pt idx="37">
                  <c:v>557.05915107877968</c:v>
                </c:pt>
                <c:pt idx="38">
                  <c:v>555.76153851225945</c:v>
                </c:pt>
                <c:pt idx="39">
                  <c:v>554.45614027034003</c:v>
                </c:pt>
                <c:pt idx="40">
                  <c:v>553.14290963896906</c:v>
                </c:pt>
                <c:pt idx="41">
                  <c:v>551.82179962380985</c:v>
                </c:pt>
                <c:pt idx="42">
                  <c:v>550.49276294855974</c:v>
                </c:pt>
                <c:pt idx="43">
                  <c:v>549.15575205325808</c:v>
                </c:pt>
                <c:pt idx="44">
                  <c:v>547.81071909258458</c:v>
                </c:pt>
                <c:pt idx="45">
                  <c:v>546.45761593414704</c:v>
                </c:pt>
                <c:pt idx="46">
                  <c:v>545.09639415675906</c:v>
                </c:pt>
                <c:pt idx="47">
                  <c:v>543.72700504870659</c:v>
                </c:pt>
                <c:pt idx="48">
                  <c:v>542.34939960600582</c:v>
                </c:pt>
                <c:pt idx="49">
                  <c:v>540.96352853064877</c:v>
                </c:pt>
                <c:pt idx="50">
                  <c:v>539.56934222883979</c:v>
                </c:pt>
                <c:pt idx="51">
                  <c:v>538.16679080921972</c:v>
                </c:pt>
                <c:pt idx="52">
                  <c:v>536.7558240810821</c:v>
                </c:pt>
                <c:pt idx="53">
                  <c:v>535.33639155257561</c:v>
                </c:pt>
                <c:pt idx="54">
                  <c:v>533.90844242889807</c:v>
                </c:pt>
                <c:pt idx="55">
                  <c:v>532.47192561047837</c:v>
                </c:pt>
                <c:pt idx="56">
                  <c:v>531.02678969114834</c:v>
                </c:pt>
                <c:pt idx="57">
                  <c:v>529.57298295630221</c:v>
                </c:pt>
                <c:pt idx="58">
                  <c:v>528.11045338104691</c:v>
                </c:pt>
                <c:pt idx="59">
                  <c:v>526.63914862834031</c:v>
                </c:pt>
                <c:pt idx="60">
                  <c:v>525.15901604711735</c:v>
                </c:pt>
                <c:pt idx="61">
                  <c:v>523.67000267040703</c:v>
                </c:pt>
                <c:pt idx="62">
                  <c:v>522.17205521343647</c:v>
                </c:pt>
                <c:pt idx="63">
                  <c:v>520.66512007172412</c:v>
                </c:pt>
                <c:pt idx="64">
                  <c:v>519.14914331916145</c:v>
                </c:pt>
                <c:pt idx="65">
                  <c:v>517.62407070608344</c:v>
                </c:pt>
                <c:pt idx="66">
                  <c:v>516.08984765732691</c:v>
                </c:pt>
                <c:pt idx="67">
                  <c:v>514.54641927027797</c:v>
                </c:pt>
                <c:pt idx="68">
                  <c:v>512.99373031290656</c:v>
                </c:pt>
                <c:pt idx="69">
                  <c:v>511.431725221791</c:v>
                </c:pt>
                <c:pt idx="70">
                  <c:v>509.86034810012882</c:v>
                </c:pt>
                <c:pt idx="71">
                  <c:v>508.27954271573651</c:v>
                </c:pt>
                <c:pt idx="72">
                  <c:v>506.68925249903805</c:v>
                </c:pt>
                <c:pt idx="73">
                  <c:v>505.0894205410392</c:v>
                </c:pt>
                <c:pt idx="74">
                  <c:v>503.47998959129245</c:v>
                </c:pt>
                <c:pt idx="75">
                  <c:v>501.86090205584725</c:v>
                </c:pt>
                <c:pt idx="76">
                  <c:v>500.23209999518929</c:v>
                </c:pt>
                <c:pt idx="77">
                  <c:v>498.59352512216748</c:v>
                </c:pt>
                <c:pt idx="78">
                  <c:v>496.94511879990739</c:v>
                </c:pt>
                <c:pt idx="79">
                  <c:v>495.28682203971385</c:v>
                </c:pt>
                <c:pt idx="80">
                  <c:v>493.61857549895922</c:v>
                </c:pt>
                <c:pt idx="81">
                  <c:v>491.94031947895991</c:v>
                </c:pt>
                <c:pt idx="82">
                  <c:v>490.25199392284077</c:v>
                </c:pt>
                <c:pt idx="83">
                  <c:v>488.55353841338473</c:v>
                </c:pt>
                <c:pt idx="84">
                  <c:v>486.84489217087201</c:v>
                </c:pt>
                <c:pt idx="85">
                  <c:v>485.1259940509043</c:v>
                </c:pt>
                <c:pt idx="86">
                  <c:v>483.39678254221673</c:v>
                </c:pt>
                <c:pt idx="87">
                  <c:v>481.65719576447702</c:v>
                </c:pt>
                <c:pt idx="88">
                  <c:v>479.90717146607096</c:v>
                </c:pt>
                <c:pt idx="89">
                  <c:v>478.14664702187429</c:v>
                </c:pt>
                <c:pt idx="90">
                  <c:v>476.3755594310125</c:v>
                </c:pt>
                <c:pt idx="91">
                  <c:v>474.59384531460563</c:v>
                </c:pt>
                <c:pt idx="92">
                  <c:v>472.80144091350019</c:v>
                </c:pt>
                <c:pt idx="93">
                  <c:v>470.99828208598831</c:v>
                </c:pt>
                <c:pt idx="94">
                  <c:v>469.18430430551126</c:v>
                </c:pt>
                <c:pt idx="95">
                  <c:v>467.35944265835121</c:v>
                </c:pt>
                <c:pt idx="96">
                  <c:v>465.52363184130837</c:v>
                </c:pt>
                <c:pt idx="97">
                  <c:v>463.67680615936314</c:v>
                </c:pt>
                <c:pt idx="98">
                  <c:v>461.81889952332642</c:v>
                </c:pt>
                <c:pt idx="99">
                  <c:v>459.94984544747342</c:v>
                </c:pt>
                <c:pt idx="100">
                  <c:v>458.06957704716524</c:v>
                </c:pt>
                <c:pt idx="101">
                  <c:v>456.17802703645509</c:v>
                </c:pt>
                <c:pt idx="102">
                  <c:v>454.27512772568087</c:v>
                </c:pt>
                <c:pt idx="103">
                  <c:v>452.36081101904199</c:v>
                </c:pt>
                <c:pt idx="104">
                  <c:v>450.4350084121632</c:v>
                </c:pt>
                <c:pt idx="105">
                  <c:v>448.49765098964326</c:v>
                </c:pt>
                <c:pt idx="106">
                  <c:v>446.54866942258803</c:v>
                </c:pt>
                <c:pt idx="107">
                  <c:v>444.58799396613057</c:v>
                </c:pt>
                <c:pt idx="108">
                  <c:v>442.61555445693438</c:v>
                </c:pt>
                <c:pt idx="109">
                  <c:v>440.63128031068311</c:v>
                </c:pt>
                <c:pt idx="110">
                  <c:v>438.6351005195541</c:v>
                </c:pt>
                <c:pt idx="111">
                  <c:v>436.62694364967848</c:v>
                </c:pt>
                <c:pt idx="112">
                  <c:v>434.60673783858357</c:v>
                </c:pt>
                <c:pt idx="113">
                  <c:v>432.57441079262196</c:v>
                </c:pt>
                <c:pt idx="114">
                  <c:v>430.52988978438469</c:v>
                </c:pt>
                <c:pt idx="115">
                  <c:v>428.4731016500981</c:v>
                </c:pt>
                <c:pt idx="116">
                  <c:v>426.40397278700567</c:v>
                </c:pt>
                <c:pt idx="117">
                  <c:v>424.32242915073476</c:v>
                </c:pt>
                <c:pt idx="118">
                  <c:v>422.22839625264606</c:v>
                </c:pt>
                <c:pt idx="119">
                  <c:v>420.12179915716899</c:v>
                </c:pt>
                <c:pt idx="120">
                  <c:v>418.00256247911904</c:v>
                </c:pt>
                <c:pt idx="121">
                  <c:v>415.87061038100074</c:v>
                </c:pt>
                <c:pt idx="122">
                  <c:v>413.72586657029376</c:v>
                </c:pt>
                <c:pt idx="123">
                  <c:v>411.56825429672256</c:v>
                </c:pt>
                <c:pt idx="124">
                  <c:v>409.39769634950983</c:v>
                </c:pt>
                <c:pt idx="125">
                  <c:v>407.2141150546139</c:v>
                </c:pt>
                <c:pt idx="126">
                  <c:v>405.01743227194862</c:v>
                </c:pt>
                <c:pt idx="127">
                  <c:v>402.80756939258731</c:v>
                </c:pt>
                <c:pt idx="128">
                  <c:v>400.58444733594985</c:v>
                </c:pt>
                <c:pt idx="129">
                  <c:v>398.34798654697249</c:v>
                </c:pt>
                <c:pt idx="130">
                  <c:v>396.09810699326135</c:v>
                </c:pt>
                <c:pt idx="131">
                  <c:v>393.83472816222792</c:v>
                </c:pt>
                <c:pt idx="132">
                  <c:v>391.55776905820824</c:v>
                </c:pt>
                <c:pt idx="133">
                  <c:v>389.26714819956453</c:v>
                </c:pt>
                <c:pt idx="134">
                  <c:v>386.9627836157689</c:v>
                </c:pt>
                <c:pt idx="135">
                  <c:v>384.64459284447048</c:v>
                </c:pt>
                <c:pt idx="136">
                  <c:v>382.31249292854432</c:v>
                </c:pt>
                <c:pt idx="137">
                  <c:v>379.96640041312264</c:v>
                </c:pt>
                <c:pt idx="138">
                  <c:v>377.6062313426084</c:v>
                </c:pt>
                <c:pt idx="139">
                  <c:v>375.23190125767104</c:v>
                </c:pt>
                <c:pt idx="140">
                  <c:v>372.84332519222409</c:v>
                </c:pt>
                <c:pt idx="141">
                  <c:v>370.44041767038442</c:v>
                </c:pt>
                <c:pt idx="142">
                  <c:v>368.02309270341368</c:v>
                </c:pt>
                <c:pt idx="143">
                  <c:v>365.59126378664121</c:v>
                </c:pt>
                <c:pt idx="144">
                  <c:v>363.14484389636806</c:v>
                </c:pt>
                <c:pt idx="145">
                  <c:v>360.68374548675331</c:v>
                </c:pt>
                <c:pt idx="146">
                  <c:v>358.20788048668084</c:v>
                </c:pt>
                <c:pt idx="147">
                  <c:v>355.71716029660791</c:v>
                </c:pt>
                <c:pt idx="148">
                  <c:v>353.21149578539456</c:v>
                </c:pt>
                <c:pt idx="149">
                  <c:v>350.69079728711392</c:v>
                </c:pt>
                <c:pt idx="150">
                  <c:v>348.15497459784359</c:v>
                </c:pt>
                <c:pt idx="151">
                  <c:v>345.60393697243762</c:v>
                </c:pt>
                <c:pt idx="152">
                  <c:v>343.03759312127926</c:v>
                </c:pt>
                <c:pt idx="153">
                  <c:v>340.45585120701395</c:v>
                </c:pt>
                <c:pt idx="154">
                  <c:v>337.85861884126302</c:v>
                </c:pt>
                <c:pt idx="155">
                  <c:v>335.2458030813176</c:v>
                </c:pt>
                <c:pt idx="156">
                  <c:v>332.61731042681254</c:v>
                </c:pt>
                <c:pt idx="157">
                  <c:v>329.97304681638036</c:v>
                </c:pt>
                <c:pt idx="158">
                  <c:v>327.31291762428572</c:v>
                </c:pt>
                <c:pt idx="159">
                  <c:v>324.63682765703845</c:v>
                </c:pt>
                <c:pt idx="160">
                  <c:v>321.94468114998767</c:v>
                </c:pt>
                <c:pt idx="161">
                  <c:v>319.2363817638946</c:v>
                </c:pt>
                <c:pt idx="162">
                  <c:v>316.51183258148501</c:v>
                </c:pt>
                <c:pt idx="163">
                  <c:v>313.77093610398089</c:v>
                </c:pt>
                <c:pt idx="164">
                  <c:v>311.01359424761176</c:v>
                </c:pt>
                <c:pt idx="165">
                  <c:v>308.23970834010441</c:v>
                </c:pt>
                <c:pt idx="166">
                  <c:v>305.44917911715208</c:v>
                </c:pt>
                <c:pt idx="167">
                  <c:v>302.641906718862</c:v>
                </c:pt>
                <c:pt idx="168">
                  <c:v>299.81779068618215</c:v>
                </c:pt>
                <c:pt idx="169">
                  <c:v>296.97672995730625</c:v>
                </c:pt>
                <c:pt idx="170">
                  <c:v>294.1186228640571</c:v>
                </c:pt>
                <c:pt idx="171">
                  <c:v>291.24336712824845</c:v>
                </c:pt>
                <c:pt idx="172">
                  <c:v>288.35085985802493</c:v>
                </c:pt>
                <c:pt idx="173">
                  <c:v>285.44099754418005</c:v>
                </c:pt>
                <c:pt idx="174">
                  <c:v>282.51367605645214</c:v>
                </c:pt>
                <c:pt idx="175">
                  <c:v>279.56879063979784</c:v>
                </c:pt>
                <c:pt idx="176">
                  <c:v>276.6062359106437</c:v>
                </c:pt>
                <c:pt idx="177">
                  <c:v>273.62590585311455</c:v>
                </c:pt>
                <c:pt idx="178">
                  <c:v>270.62769381524021</c:v>
                </c:pt>
                <c:pt idx="179">
                  <c:v>267.61149250513864</c:v>
                </c:pt>
                <c:pt idx="180">
                  <c:v>264.57719398717643</c:v>
                </c:pt>
                <c:pt idx="181">
                  <c:v>261.52468967810654</c:v>
                </c:pt>
                <c:pt idx="182">
                  <c:v>258.45387034318219</c:v>
                </c:pt>
                <c:pt idx="183">
                  <c:v>255.36462609224833</c:v>
                </c:pt>
                <c:pt idx="184">
                  <c:v>252.25684637580881</c:v>
                </c:pt>
                <c:pt idx="185">
                  <c:v>249.13041998107065</c:v>
                </c:pt>
                <c:pt idx="186">
                  <c:v>245.98523502796405</c:v>
                </c:pt>
                <c:pt idx="187">
                  <c:v>242.82117896513881</c:v>
                </c:pt>
                <c:pt idx="188">
                  <c:v>239.63813856593666</c:v>
                </c:pt>
                <c:pt idx="189">
                  <c:v>236.43599992433923</c:v>
                </c:pt>
                <c:pt idx="190">
                  <c:v>233.2146484508923</c:v>
                </c:pt>
                <c:pt idx="191">
                  <c:v>229.97396886860466</c:v>
                </c:pt>
                <c:pt idx="192">
                  <c:v>226.71384520882324</c:v>
                </c:pt>
                <c:pt idx="193">
                  <c:v>223.4341608070832</c:v>
                </c:pt>
                <c:pt idx="194">
                  <c:v>220.13479829893271</c:v>
                </c:pt>
                <c:pt idx="195">
                  <c:v>216.81563961573335</c:v>
                </c:pt>
                <c:pt idx="196">
                  <c:v>213.47656598043471</c:v>
                </c:pt>
                <c:pt idx="197">
                  <c:v>210.11745790332435</c:v>
                </c:pt>
                <c:pt idx="198">
                  <c:v>206.73819517775124</c:v>
                </c:pt>
                <c:pt idx="199">
                  <c:v>203.3386568758248</c:v>
                </c:pt>
                <c:pt idx="200">
                  <c:v>199.91872134408669</c:v>
                </c:pt>
                <c:pt idx="201">
                  <c:v>196.47826619915821</c:v>
                </c:pt>
                <c:pt idx="202">
                  <c:v>193.01716832336015</c:v>
                </c:pt>
                <c:pt idx="203">
                  <c:v>189.53530386030729</c:v>
                </c:pt>
                <c:pt idx="204">
                  <c:v>186.03254821047616</c:v>
                </c:pt>
                <c:pt idx="205">
                  <c:v>182.50877602674603</c:v>
                </c:pt>
                <c:pt idx="206">
                  <c:v>178.96386120991346</c:v>
                </c:pt>
                <c:pt idx="207">
                  <c:v>175.39767690417995</c:v>
                </c:pt>
                <c:pt idx="208">
                  <c:v>171.81009549261208</c:v>
                </c:pt>
                <c:pt idx="209">
                  <c:v>168.20098859257476</c:v>
                </c:pt>
                <c:pt idx="210">
                  <c:v>164.57022705113718</c:v>
                </c:pt>
                <c:pt idx="211">
                  <c:v>160.91768094045099</c:v>
                </c:pt>
                <c:pt idx="212">
                  <c:v>157.24321955310069</c:v>
                </c:pt>
                <c:pt idx="213">
                  <c:v>153.54671139742635</c:v>
                </c:pt>
                <c:pt idx="214">
                  <c:v>149.82802419281788</c:v>
                </c:pt>
                <c:pt idx="215">
                  <c:v>146.08702486498183</c:v>
                </c:pt>
                <c:pt idx="216">
                  <c:v>142.3235795411787</c:v>
                </c:pt>
                <c:pt idx="217">
                  <c:v>138.53755354543279</c:v>
                </c:pt>
                <c:pt idx="218">
                  <c:v>134.72881139371239</c:v>
                </c:pt>
                <c:pt idx="219">
                  <c:v>130.89721678908171</c:v>
                </c:pt>
                <c:pt idx="220">
                  <c:v>127.04263261682317</c:v>
                </c:pt>
                <c:pt idx="221">
                  <c:v>123.16492093953109</c:v>
                </c:pt>
                <c:pt idx="222">
                  <c:v>119.26394299217529</c:v>
                </c:pt>
                <c:pt idx="223">
                  <c:v>115.33955917713536</c:v>
                </c:pt>
                <c:pt idx="224">
                  <c:v>111.39162905920514</c:v>
                </c:pt>
                <c:pt idx="225">
                  <c:v>107.4200113605674</c:v>
                </c:pt>
                <c:pt idx="226">
                  <c:v>103.42456395573784</c:v>
                </c:pt>
                <c:pt idx="227">
                  <c:v>99.405143866479278</c:v>
                </c:pt>
                <c:pt idx="228">
                  <c:v>95.361607256685176</c:v>
                </c:pt>
                <c:pt idx="229">
                  <c:v>91.293809427232304</c:v>
                </c:pt>
                <c:pt idx="230">
                  <c:v>87.201604810802706</c:v>
                </c:pt>
                <c:pt idx="231">
                  <c:v>83.08484696667449</c:v>
                </c:pt>
                <c:pt idx="232">
                  <c:v>78.943388575481535</c:v>
                </c:pt>
                <c:pt idx="233">
                  <c:v>74.777081433941404</c:v>
                </c:pt>
                <c:pt idx="234">
                  <c:v>70.585776449552029</c:v>
                </c:pt>
                <c:pt idx="235">
                  <c:v>66.36932363525635</c:v>
                </c:pt>
                <c:pt idx="236">
                  <c:v>62.127572104074929</c:v>
                </c:pt>
                <c:pt idx="237">
                  <c:v>57.860370063706419</c:v>
                </c:pt>
                <c:pt idx="238">
                  <c:v>53.567564811095679</c:v>
                </c:pt>
                <c:pt idx="239">
                  <c:v>49.24900272696928</c:v>
                </c:pt>
                <c:pt idx="240">
                  <c:v>44.904529270338131</c:v>
                </c:pt>
                <c:pt idx="241">
                  <c:v>40.533988972967201</c:v>
                </c:pt>
                <c:pt idx="242">
                  <c:v>36.137225433812041</c:v>
                </c:pt>
                <c:pt idx="243">
                  <c:v>31.714081313421918</c:v>
                </c:pt>
                <c:pt idx="244">
                  <c:v>27.264398328309472</c:v>
                </c:pt>
                <c:pt idx="245">
                  <c:v>22.788017245286348</c:v>
                </c:pt>
                <c:pt idx="246">
                  <c:v>18.284777875765108</c:v>
                </c:pt>
                <c:pt idx="247">
                  <c:v>13.754519070026697</c:v>
                </c:pt>
                <c:pt idx="248">
                  <c:v>9.1970787114538535</c:v>
                </c:pt>
                <c:pt idx="249">
                  <c:v>4.6122937107295439</c:v>
                </c:pt>
                <c:pt idx="250">
                  <c:v>9.6042640507221206E-13</c:v>
                </c:pt>
                <c:pt idx="251">
                  <c:v>-4.6399674729919926</c:v>
                </c:pt>
                <c:pt idx="252">
                  <c:v>-9.3077747508229809</c:v>
                </c:pt>
                <c:pt idx="253">
                  <c:v>-14.00358887232095</c:v>
                </c:pt>
                <c:pt idx="254">
                  <c:v>-18.72757787854783</c:v>
                </c:pt>
              </c:numCache>
            </c:numRef>
          </c:val>
          <c:smooth val="0"/>
          <c:extLst>
            <c:ext xmlns:c16="http://schemas.microsoft.com/office/drawing/2014/chart" uri="{C3380CC4-5D6E-409C-BE32-E72D297353CC}">
              <c16:uniqueId val="{00000000-7D3D-42AA-A438-631E67383EC8}"/>
            </c:ext>
          </c:extLst>
        </c:ser>
        <c:ser>
          <c:idx val="1"/>
          <c:order val="1"/>
          <c:tx>
            <c:v>PO</c:v>
          </c:tx>
          <c:spPr>
            <a:ln w="34925" cap="rnd">
              <a:solidFill>
                <a:schemeClr val="accent2"/>
              </a:solidFill>
              <a:round/>
            </a:ln>
            <a:effectLst>
              <a:outerShdw blurRad="57150" dist="19050" dir="5400000" algn="ctr" rotWithShape="0">
                <a:srgbClr val="000000">
                  <a:alpha val="63000"/>
                </a:srgbClr>
              </a:outerShdw>
            </a:effectLst>
          </c:spPr>
          <c:marker>
            <c:symbol val="none"/>
          </c:marker>
          <c:val>
            <c:numRef>
              <c:f>Schedule!$E$15:$E$269</c:f>
              <c:numCache>
                <c:formatCode>General</c:formatCode>
                <c:ptCount val="255"/>
                <c:pt idx="0">
                  <c:v>173.32791216549947</c:v>
                </c:pt>
                <c:pt idx="1">
                  <c:v>174.36787963849247</c:v>
                </c:pt>
                <c:pt idx="2">
                  <c:v>175.41408691632353</c:v>
                </c:pt>
                <c:pt idx="3">
                  <c:v>176.46657143782136</c:v>
                </c:pt>
                <c:pt idx="4">
                  <c:v>177.52537086644827</c:v>
                </c:pt>
                <c:pt idx="5">
                  <c:v>178.59052309164701</c:v>
                </c:pt>
                <c:pt idx="6">
                  <c:v>179.66206623019684</c:v>
                </c:pt>
                <c:pt idx="7">
                  <c:v>180.74003862757809</c:v>
                </c:pt>
                <c:pt idx="8">
                  <c:v>181.82447885934346</c:v>
                </c:pt>
                <c:pt idx="9">
                  <c:v>182.91542573249956</c:v>
                </c:pt>
                <c:pt idx="10">
                  <c:v>184.01291828689466</c:v>
                </c:pt>
                <c:pt idx="11">
                  <c:v>185.11699579661592</c:v>
                </c:pt>
                <c:pt idx="12">
                  <c:v>186.2276977713957</c:v>
                </c:pt>
                <c:pt idx="13">
                  <c:v>187.34506395802407</c:v>
                </c:pt>
                <c:pt idx="14">
                  <c:v>188.46913434177225</c:v>
                </c:pt>
                <c:pt idx="15">
                  <c:v>189.59994914782283</c:v>
                </c:pt>
                <c:pt idx="16">
                  <c:v>190.73754884270977</c:v>
                </c:pt>
                <c:pt idx="17">
                  <c:v>191.88197413576597</c:v>
                </c:pt>
                <c:pt idx="18">
                  <c:v>193.0332659805805</c:v>
                </c:pt>
                <c:pt idx="19">
                  <c:v>194.19146557646411</c:v>
                </c:pt>
                <c:pt idx="20">
                  <c:v>195.35661436992291</c:v>
                </c:pt>
                <c:pt idx="21">
                  <c:v>196.52875405614236</c:v>
                </c:pt>
                <c:pt idx="22">
                  <c:v>197.70792658047924</c:v>
                </c:pt>
                <c:pt idx="23">
                  <c:v>198.89417413996205</c:v>
                </c:pt>
                <c:pt idx="24">
                  <c:v>200.08753918480193</c:v>
                </c:pt>
                <c:pt idx="25">
                  <c:v>201.28806441991071</c:v>
                </c:pt>
                <c:pt idx="26">
                  <c:v>202.49579280643013</c:v>
                </c:pt>
                <c:pt idx="27">
                  <c:v>203.71076756326886</c:v>
                </c:pt>
                <c:pt idx="28">
                  <c:v>204.93303216864842</c:v>
                </c:pt>
                <c:pt idx="29">
                  <c:v>206.16263036166026</c:v>
                </c:pt>
                <c:pt idx="30">
                  <c:v>207.39960614383028</c:v>
                </c:pt>
                <c:pt idx="31">
                  <c:v>208.6440037806932</c:v>
                </c:pt>
                <c:pt idx="32">
                  <c:v>209.89586780337731</c:v>
                </c:pt>
                <c:pt idx="33">
                  <c:v>211.15524301019764</c:v>
                </c:pt>
                <c:pt idx="34">
                  <c:v>212.42217446825885</c:v>
                </c:pt>
                <c:pt idx="35">
                  <c:v>213.6967075150684</c:v>
                </c:pt>
                <c:pt idx="36">
                  <c:v>214.97888776015873</c:v>
                </c:pt>
                <c:pt idx="37">
                  <c:v>216.26876108671979</c:v>
                </c:pt>
                <c:pt idx="38">
                  <c:v>217.56637365324002</c:v>
                </c:pt>
                <c:pt idx="39">
                  <c:v>218.87177189515944</c:v>
                </c:pt>
                <c:pt idx="40">
                  <c:v>220.18500252653041</c:v>
                </c:pt>
                <c:pt idx="41">
                  <c:v>221.50611254168962</c:v>
                </c:pt>
                <c:pt idx="42">
                  <c:v>222.83514921693973</c:v>
                </c:pt>
                <c:pt idx="43">
                  <c:v>224.17216011224139</c:v>
                </c:pt>
                <c:pt idx="44">
                  <c:v>225.51719307291489</c:v>
                </c:pt>
                <c:pt idx="45">
                  <c:v>226.87029623135243</c:v>
                </c:pt>
                <c:pt idx="46">
                  <c:v>228.23151800874041</c:v>
                </c:pt>
                <c:pt idx="47">
                  <c:v>229.60090711679288</c:v>
                </c:pt>
                <c:pt idx="48">
                  <c:v>230.97851255949365</c:v>
                </c:pt>
                <c:pt idx="49">
                  <c:v>232.3643836348507</c:v>
                </c:pt>
                <c:pt idx="50">
                  <c:v>233.75856993665968</c:v>
                </c:pt>
                <c:pt idx="51">
                  <c:v>235.16112135627975</c:v>
                </c:pt>
                <c:pt idx="52">
                  <c:v>236.57208808441737</c:v>
                </c:pt>
                <c:pt idx="53">
                  <c:v>237.99152061292386</c:v>
                </c:pt>
                <c:pt idx="54">
                  <c:v>239.4194697366014</c:v>
                </c:pt>
                <c:pt idx="55">
                  <c:v>240.8559865550211</c:v>
                </c:pt>
                <c:pt idx="56">
                  <c:v>242.30112247435113</c:v>
                </c:pt>
                <c:pt idx="57">
                  <c:v>243.75492920919726</c:v>
                </c:pt>
                <c:pt idx="58">
                  <c:v>245.21745878445256</c:v>
                </c:pt>
                <c:pt idx="59">
                  <c:v>246.68876353715916</c:v>
                </c:pt>
                <c:pt idx="60">
                  <c:v>248.16889611838212</c:v>
                </c:pt>
                <c:pt idx="61">
                  <c:v>249.65790949509244</c:v>
                </c:pt>
                <c:pt idx="62">
                  <c:v>251.155856952063</c:v>
                </c:pt>
                <c:pt idx="63">
                  <c:v>252.66279209377535</c:v>
                </c:pt>
                <c:pt idx="64">
                  <c:v>254.17876884633802</c:v>
                </c:pt>
                <c:pt idx="65">
                  <c:v>255.70384145941603</c:v>
                </c:pt>
                <c:pt idx="66">
                  <c:v>257.23806450817256</c:v>
                </c:pt>
                <c:pt idx="67">
                  <c:v>258.7814928952215</c:v>
                </c:pt>
                <c:pt idx="68">
                  <c:v>260.33418185259291</c:v>
                </c:pt>
                <c:pt idx="69">
                  <c:v>261.89618694370847</c:v>
                </c:pt>
                <c:pt idx="70">
                  <c:v>263.46756406537065</c:v>
                </c:pt>
                <c:pt idx="71">
                  <c:v>265.04836944976296</c:v>
                </c:pt>
                <c:pt idx="72">
                  <c:v>266.63865966646142</c:v>
                </c:pt>
                <c:pt idx="73">
                  <c:v>268.23849162446027</c:v>
                </c:pt>
                <c:pt idx="74">
                  <c:v>269.84792257420702</c:v>
                </c:pt>
                <c:pt idx="75">
                  <c:v>271.46701010965222</c:v>
                </c:pt>
                <c:pt idx="76">
                  <c:v>273.09581217031018</c:v>
                </c:pt>
                <c:pt idx="77">
                  <c:v>274.73438704333199</c:v>
                </c:pt>
                <c:pt idx="78">
                  <c:v>276.38279336559208</c:v>
                </c:pt>
                <c:pt idx="79">
                  <c:v>278.04109012578562</c:v>
                </c:pt>
                <c:pt idx="80">
                  <c:v>279.70933666654025</c:v>
                </c:pt>
                <c:pt idx="81">
                  <c:v>281.38759268653956</c:v>
                </c:pt>
                <c:pt idx="82">
                  <c:v>283.0759182426587</c:v>
                </c:pt>
                <c:pt idx="83">
                  <c:v>284.77437375211474</c:v>
                </c:pt>
                <c:pt idx="84">
                  <c:v>286.48301999462745</c:v>
                </c:pt>
                <c:pt idx="85">
                  <c:v>288.20191811459517</c:v>
                </c:pt>
                <c:pt idx="86">
                  <c:v>289.93112962328274</c:v>
                </c:pt>
                <c:pt idx="87">
                  <c:v>291.67071640102245</c:v>
                </c:pt>
                <c:pt idx="88">
                  <c:v>293.42074069942851</c:v>
                </c:pt>
                <c:pt idx="89">
                  <c:v>295.18126514362518</c:v>
                </c:pt>
                <c:pt idx="90">
                  <c:v>296.95235273448696</c:v>
                </c:pt>
                <c:pt idx="91">
                  <c:v>298.73406685089384</c:v>
                </c:pt>
                <c:pt idx="92">
                  <c:v>300.52647125199928</c:v>
                </c:pt>
                <c:pt idx="93">
                  <c:v>302.32963007951116</c:v>
                </c:pt>
                <c:pt idx="94">
                  <c:v>304.14360785998821</c:v>
                </c:pt>
                <c:pt idx="95">
                  <c:v>305.96846950714826</c:v>
                </c:pt>
                <c:pt idx="96">
                  <c:v>307.8042803241911</c:v>
                </c:pt>
                <c:pt idx="97">
                  <c:v>309.65110600613633</c:v>
                </c:pt>
                <c:pt idx="98">
                  <c:v>311.50901264217305</c:v>
                </c:pt>
                <c:pt idx="99">
                  <c:v>313.37806671802605</c:v>
                </c:pt>
                <c:pt idx="100">
                  <c:v>315.25833511833423</c:v>
                </c:pt>
                <c:pt idx="101">
                  <c:v>317.14988512904438</c:v>
                </c:pt>
                <c:pt idx="102">
                  <c:v>319.05278443981859</c:v>
                </c:pt>
                <c:pt idx="103">
                  <c:v>320.96710114645748</c:v>
                </c:pt>
                <c:pt idx="104">
                  <c:v>322.89290375333627</c:v>
                </c:pt>
                <c:pt idx="105">
                  <c:v>324.83026117585621</c:v>
                </c:pt>
                <c:pt idx="106">
                  <c:v>326.77924274291144</c:v>
                </c:pt>
                <c:pt idx="107">
                  <c:v>328.7399181993689</c:v>
                </c:pt>
                <c:pt idx="108">
                  <c:v>330.71235770856509</c:v>
                </c:pt>
                <c:pt idx="109">
                  <c:v>332.69663185481636</c:v>
                </c:pt>
                <c:pt idx="110">
                  <c:v>334.69281164594537</c:v>
                </c:pt>
                <c:pt idx="111">
                  <c:v>336.70096851582099</c:v>
                </c:pt>
                <c:pt idx="112">
                  <c:v>338.7211743269159</c:v>
                </c:pt>
                <c:pt idx="113">
                  <c:v>340.75350137287751</c:v>
                </c:pt>
                <c:pt idx="114">
                  <c:v>342.79802238111478</c:v>
                </c:pt>
                <c:pt idx="115">
                  <c:v>344.85481051540137</c:v>
                </c:pt>
                <c:pt idx="116">
                  <c:v>346.9239393784938</c:v>
                </c:pt>
                <c:pt idx="117">
                  <c:v>349.00548301476471</c:v>
                </c:pt>
                <c:pt idx="118">
                  <c:v>351.09951591285341</c:v>
                </c:pt>
                <c:pt idx="119">
                  <c:v>353.20611300833048</c:v>
                </c:pt>
                <c:pt idx="120">
                  <c:v>355.32534968638043</c:v>
                </c:pt>
                <c:pt idx="121">
                  <c:v>357.45730178449872</c:v>
                </c:pt>
                <c:pt idx="122">
                  <c:v>359.60204559520571</c:v>
                </c:pt>
                <c:pt idx="123">
                  <c:v>361.75965786877691</c:v>
                </c:pt>
                <c:pt idx="124">
                  <c:v>363.93021581598964</c:v>
                </c:pt>
                <c:pt idx="125">
                  <c:v>366.11379711088557</c:v>
                </c:pt>
                <c:pt idx="126">
                  <c:v>368.31047989355085</c:v>
                </c:pt>
                <c:pt idx="127">
                  <c:v>370.52034277291216</c:v>
                </c:pt>
                <c:pt idx="128">
                  <c:v>372.74346482954962</c:v>
                </c:pt>
                <c:pt idx="129">
                  <c:v>374.97992561852698</c:v>
                </c:pt>
                <c:pt idx="130">
                  <c:v>377.22980517223812</c:v>
                </c:pt>
                <c:pt idx="131">
                  <c:v>379.49318400327155</c:v>
                </c:pt>
                <c:pt idx="132">
                  <c:v>381.77014310729123</c:v>
                </c:pt>
                <c:pt idx="133">
                  <c:v>384.06076396593494</c:v>
                </c:pt>
                <c:pt idx="134">
                  <c:v>386.36512854973057</c:v>
                </c:pt>
                <c:pt idx="135">
                  <c:v>388.68331932102899</c:v>
                </c:pt>
                <c:pt idx="136">
                  <c:v>391.01541923695515</c:v>
                </c:pt>
                <c:pt idx="137">
                  <c:v>393.36151175237683</c:v>
                </c:pt>
                <c:pt idx="138">
                  <c:v>395.72168082289107</c:v>
                </c:pt>
                <c:pt idx="139">
                  <c:v>398.09601090782843</c:v>
                </c:pt>
                <c:pt idx="140">
                  <c:v>400.48458697327538</c:v>
                </c:pt>
                <c:pt idx="141">
                  <c:v>402.88749449511505</c:v>
                </c:pt>
                <c:pt idx="142">
                  <c:v>405.30481946208579</c:v>
                </c:pt>
                <c:pt idx="143">
                  <c:v>407.73664837885826</c:v>
                </c:pt>
                <c:pt idx="144">
                  <c:v>410.18306826913141</c:v>
                </c:pt>
                <c:pt idx="145">
                  <c:v>412.64416667874616</c:v>
                </c:pt>
                <c:pt idx="146">
                  <c:v>415.12003167881863</c:v>
                </c:pt>
                <c:pt idx="147">
                  <c:v>417.61075186889155</c:v>
                </c:pt>
                <c:pt idx="148">
                  <c:v>420.11641638010491</c:v>
                </c:pt>
                <c:pt idx="149">
                  <c:v>422.63711487838555</c:v>
                </c:pt>
                <c:pt idx="150">
                  <c:v>425.17293756765588</c:v>
                </c:pt>
                <c:pt idx="151">
                  <c:v>427.72397519306185</c:v>
                </c:pt>
                <c:pt idx="152">
                  <c:v>430.29031904422021</c:v>
                </c:pt>
                <c:pt idx="153">
                  <c:v>432.87206095848552</c:v>
                </c:pt>
                <c:pt idx="154">
                  <c:v>435.46929332423645</c:v>
                </c:pt>
                <c:pt idx="155">
                  <c:v>438.08210908418187</c:v>
                </c:pt>
                <c:pt idx="156">
                  <c:v>440.71060173868693</c:v>
                </c:pt>
                <c:pt idx="157">
                  <c:v>443.35486534911911</c:v>
                </c:pt>
                <c:pt idx="158">
                  <c:v>446.01499454121375</c:v>
                </c:pt>
                <c:pt idx="159">
                  <c:v>448.69108450846102</c:v>
                </c:pt>
                <c:pt idx="160">
                  <c:v>451.3832310155118</c:v>
                </c:pt>
                <c:pt idx="161">
                  <c:v>454.09153040160487</c:v>
                </c:pt>
                <c:pt idx="162">
                  <c:v>456.81607958401446</c:v>
                </c:pt>
                <c:pt idx="163">
                  <c:v>459.55697606151858</c:v>
                </c:pt>
                <c:pt idx="164">
                  <c:v>462.31431791788771</c:v>
                </c:pt>
                <c:pt idx="165">
                  <c:v>465.08820382539506</c:v>
                </c:pt>
                <c:pt idx="166">
                  <c:v>467.87873304834739</c:v>
                </c:pt>
                <c:pt idx="167">
                  <c:v>470.68600544663747</c:v>
                </c:pt>
                <c:pt idx="168">
                  <c:v>473.51012147931732</c:v>
                </c:pt>
                <c:pt idx="169">
                  <c:v>476.35118220819322</c:v>
                </c:pt>
                <c:pt idx="170">
                  <c:v>479.20928930144237</c:v>
                </c:pt>
                <c:pt idx="171">
                  <c:v>482.08454503725102</c:v>
                </c:pt>
                <c:pt idx="172">
                  <c:v>484.97705230747454</c:v>
                </c:pt>
                <c:pt idx="173">
                  <c:v>487.88691462131942</c:v>
                </c:pt>
                <c:pt idx="174">
                  <c:v>490.81423610904733</c:v>
                </c:pt>
                <c:pt idx="175">
                  <c:v>493.75912152570163</c:v>
                </c:pt>
                <c:pt idx="176">
                  <c:v>496.72167625485577</c:v>
                </c:pt>
                <c:pt idx="177">
                  <c:v>499.70200631238492</c:v>
                </c:pt>
                <c:pt idx="178">
                  <c:v>502.70021835025926</c:v>
                </c:pt>
                <c:pt idx="179">
                  <c:v>505.71641966036083</c:v>
                </c:pt>
                <c:pt idx="180">
                  <c:v>508.75071817832304</c:v>
                </c:pt>
                <c:pt idx="181">
                  <c:v>511.80322248739293</c:v>
                </c:pt>
                <c:pt idx="182">
                  <c:v>514.87404182231728</c:v>
                </c:pt>
                <c:pt idx="183">
                  <c:v>517.96328607325108</c:v>
                </c:pt>
                <c:pt idx="184">
                  <c:v>521.07106578969069</c:v>
                </c:pt>
                <c:pt idx="185">
                  <c:v>524.19749218442882</c:v>
                </c:pt>
                <c:pt idx="186">
                  <c:v>527.34267713753547</c:v>
                </c:pt>
                <c:pt idx="187">
                  <c:v>530.50673320036071</c:v>
                </c:pt>
                <c:pt idx="188">
                  <c:v>533.68977359956284</c:v>
                </c:pt>
                <c:pt idx="189">
                  <c:v>536.8919122411603</c:v>
                </c:pt>
                <c:pt idx="190">
                  <c:v>540.11326371460723</c:v>
                </c:pt>
                <c:pt idx="191">
                  <c:v>543.35394329689484</c:v>
                </c:pt>
                <c:pt idx="192">
                  <c:v>546.6140669566762</c:v>
                </c:pt>
                <c:pt idx="193">
                  <c:v>549.89375135841624</c:v>
                </c:pt>
                <c:pt idx="194">
                  <c:v>553.19311386656682</c:v>
                </c:pt>
                <c:pt idx="195">
                  <c:v>556.51227254976607</c:v>
                </c:pt>
                <c:pt idx="196">
                  <c:v>559.85134618506481</c:v>
                </c:pt>
                <c:pt idx="197">
                  <c:v>563.21045426217506</c:v>
                </c:pt>
                <c:pt idx="198">
                  <c:v>566.58971698774826</c:v>
                </c:pt>
                <c:pt idx="199">
                  <c:v>569.9892552896747</c:v>
                </c:pt>
                <c:pt idx="200">
                  <c:v>573.40919082141272</c:v>
                </c:pt>
                <c:pt idx="201">
                  <c:v>576.84964596634131</c:v>
                </c:pt>
                <c:pt idx="202">
                  <c:v>580.31074384213935</c:v>
                </c:pt>
                <c:pt idx="203">
                  <c:v>583.79260830519218</c:v>
                </c:pt>
                <c:pt idx="204">
                  <c:v>587.29536395502328</c:v>
                </c:pt>
                <c:pt idx="205">
                  <c:v>590.81913613875349</c:v>
                </c:pt>
                <c:pt idx="206">
                  <c:v>594.36405095558598</c:v>
                </c:pt>
                <c:pt idx="207">
                  <c:v>597.93023526131947</c:v>
                </c:pt>
                <c:pt idx="208">
                  <c:v>601.51781667288742</c:v>
                </c:pt>
                <c:pt idx="209">
                  <c:v>605.12692357292474</c:v>
                </c:pt>
                <c:pt idx="210">
                  <c:v>608.75768511436229</c:v>
                </c:pt>
                <c:pt idx="211">
                  <c:v>612.41023122504851</c:v>
                </c:pt>
                <c:pt idx="212">
                  <c:v>616.08469261239884</c:v>
                </c:pt>
                <c:pt idx="213">
                  <c:v>619.78120076807318</c:v>
                </c:pt>
                <c:pt idx="214">
                  <c:v>623.49988797268156</c:v>
                </c:pt>
                <c:pt idx="215">
                  <c:v>627.24088730051767</c:v>
                </c:pt>
                <c:pt idx="216">
                  <c:v>631.0043326243208</c:v>
                </c:pt>
                <c:pt idx="217">
                  <c:v>634.79035862006663</c:v>
                </c:pt>
                <c:pt idx="218">
                  <c:v>638.59910077178711</c:v>
                </c:pt>
                <c:pt idx="219">
                  <c:v>642.43069537641782</c:v>
                </c:pt>
                <c:pt idx="220">
                  <c:v>646.28527954867627</c:v>
                </c:pt>
                <c:pt idx="221">
                  <c:v>650.16299122596843</c:v>
                </c:pt>
                <c:pt idx="222">
                  <c:v>654.06396917332415</c:v>
                </c:pt>
                <c:pt idx="223">
                  <c:v>657.98835298836411</c:v>
                </c:pt>
                <c:pt idx="224">
                  <c:v>661.93628310629435</c:v>
                </c:pt>
                <c:pt idx="225">
                  <c:v>665.90790080493207</c:v>
                </c:pt>
                <c:pt idx="226">
                  <c:v>669.90334820976159</c:v>
                </c:pt>
                <c:pt idx="227">
                  <c:v>673.92276829902016</c:v>
                </c:pt>
                <c:pt idx="228">
                  <c:v>677.96630490881432</c:v>
                </c:pt>
                <c:pt idx="229">
                  <c:v>682.03410273826717</c:v>
                </c:pt>
                <c:pt idx="230">
                  <c:v>686.12630735469679</c:v>
                </c:pt>
                <c:pt idx="231">
                  <c:v>690.24306519882498</c:v>
                </c:pt>
                <c:pt idx="232">
                  <c:v>694.38452359001792</c:v>
                </c:pt>
                <c:pt idx="233">
                  <c:v>698.55083073155811</c:v>
                </c:pt>
                <c:pt idx="234">
                  <c:v>702.74213571594748</c:v>
                </c:pt>
                <c:pt idx="235">
                  <c:v>706.95858853024311</c:v>
                </c:pt>
                <c:pt idx="236">
                  <c:v>711.20034006142453</c:v>
                </c:pt>
                <c:pt idx="237">
                  <c:v>715.46754210179301</c:v>
                </c:pt>
                <c:pt idx="238">
                  <c:v>719.76034735440385</c:v>
                </c:pt>
                <c:pt idx="239">
                  <c:v>724.07890943853022</c:v>
                </c:pt>
                <c:pt idx="240">
                  <c:v>728.42338289516135</c:v>
                </c:pt>
                <c:pt idx="241">
                  <c:v>732.79392319253225</c:v>
                </c:pt>
                <c:pt idx="242">
                  <c:v>737.19068673168738</c:v>
                </c:pt>
                <c:pt idx="243">
                  <c:v>741.61383085207751</c:v>
                </c:pt>
                <c:pt idx="244">
                  <c:v>746.06351383719004</c:v>
                </c:pt>
                <c:pt idx="245">
                  <c:v>750.5398949202131</c:v>
                </c:pt>
                <c:pt idx="246">
                  <c:v>755.04313428973433</c:v>
                </c:pt>
                <c:pt idx="247">
                  <c:v>759.57339309547274</c:v>
                </c:pt>
                <c:pt idx="248">
                  <c:v>764.13083345404561</c:v>
                </c:pt>
                <c:pt idx="249">
                  <c:v>768.71561845476992</c:v>
                </c:pt>
                <c:pt idx="250">
                  <c:v>773.32791216549856</c:v>
                </c:pt>
                <c:pt idx="251">
                  <c:v>777.96787963849147</c:v>
                </c:pt>
                <c:pt idx="252">
                  <c:v>782.63568691632247</c:v>
                </c:pt>
                <c:pt idx="253">
                  <c:v>787.33150103782043</c:v>
                </c:pt>
                <c:pt idx="254">
                  <c:v>792.05549004404725</c:v>
                </c:pt>
              </c:numCache>
            </c:numRef>
          </c:val>
          <c:smooth val="0"/>
          <c:extLst>
            <c:ext xmlns:c16="http://schemas.microsoft.com/office/drawing/2014/chart" uri="{C3380CC4-5D6E-409C-BE32-E72D297353CC}">
              <c16:uniqueId val="{00000001-7D3D-42AA-A438-631E67383EC8}"/>
            </c:ext>
          </c:extLst>
        </c:ser>
        <c:dLbls>
          <c:showLegendKey val="0"/>
          <c:showVal val="0"/>
          <c:showCatName val="0"/>
          <c:showSerName val="0"/>
          <c:showPercent val="0"/>
          <c:showBubbleSize val="0"/>
        </c:dLbls>
        <c:smooth val="0"/>
        <c:axId val="1526334255"/>
        <c:axId val="1526331855"/>
      </c:lineChart>
      <c:catAx>
        <c:axId val="1526334255"/>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Months</a:t>
                </a:r>
              </a:p>
            </c:rich>
          </c:tx>
          <c:layout>
            <c:manualLayout>
              <c:xMode val="edge"/>
              <c:yMode val="edge"/>
              <c:x val="0.43596412948381447"/>
              <c:y val="0.9162955672207641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6331855"/>
        <c:crosses val="autoZero"/>
        <c:auto val="1"/>
        <c:lblAlgn val="ctr"/>
        <c:lblOffset val="100"/>
        <c:noMultiLvlLbl val="0"/>
      </c:catAx>
      <c:valAx>
        <c:axId val="152633185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PO IO</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63342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Black 1976 vs Future</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'Black1976 vs Future'!$G$6</c:f>
              <c:strCache>
                <c:ptCount val="1"/>
                <c:pt idx="0">
                  <c:v>45.06710359</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numRef>
              <c:f>'Black1976 vs Future'!$F$7:$F$26</c:f>
              <c:numCache>
                <c:formatCode>General</c:formatCode>
                <c:ptCount val="20"/>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pt idx="18">
                  <c:v>190</c:v>
                </c:pt>
                <c:pt idx="19">
                  <c:v>200</c:v>
                </c:pt>
              </c:numCache>
            </c:numRef>
          </c:cat>
          <c:val>
            <c:numRef>
              <c:f>'Black1976 vs Future'!$G$7:$G$26</c:f>
              <c:numCache>
                <c:formatCode>General</c:formatCode>
                <c:ptCount val="20"/>
                <c:pt idx="0">
                  <c:v>2.0772712954993682E-234</c:v>
                </c:pt>
                <c:pt idx="1">
                  <c:v>3.4789245374737717E-116</c:v>
                </c:pt>
                <c:pt idx="2">
                  <c:v>2.6385613456506982E-66</c:v>
                </c:pt>
                <c:pt idx="3">
                  <c:v>1.614905265328811E-39</c:v>
                </c:pt>
                <c:pt idx="4">
                  <c:v>1.231947510505092E-23</c:v>
                </c:pt>
                <c:pt idx="5">
                  <c:v>8.2817860150749528E-14</c:v>
                </c:pt>
                <c:pt idx="6">
                  <c:v>1.1199307409550044E-7</c:v>
                </c:pt>
                <c:pt idx="7">
                  <c:v>6.1951448765369677E-4</c:v>
                </c:pt>
                <c:pt idx="8">
                  <c:v>9.032416018218381E-2</c:v>
                </c:pt>
                <c:pt idx="9">
                  <c:v>1.2672695857106788</c:v>
                </c:pt>
                <c:pt idx="10">
                  <c:v>4.6301368635704705</c:v>
                </c:pt>
                <c:pt idx="11">
                  <c:v>8.9920328212771707</c:v>
                </c:pt>
                <c:pt idx="12">
                  <c:v>13.479958799636741</c:v>
                </c:pt>
                <c:pt idx="13">
                  <c:v>17.973159278394505</c:v>
                </c:pt>
                <c:pt idx="14">
                  <c:v>22.466448209007758</c:v>
                </c:pt>
                <c:pt idx="15">
                  <c:v>26.959737847041964</c:v>
                </c:pt>
                <c:pt idx="16">
                  <c:v>31.453027488205521</c:v>
                </c:pt>
                <c:pt idx="17">
                  <c:v>35.946317129377739</c:v>
                </c:pt>
                <c:pt idx="18">
                  <c:v>40.439606770549943</c:v>
                </c:pt>
                <c:pt idx="19">
                  <c:v>44.932896411722155</c:v>
                </c:pt>
              </c:numCache>
            </c:numRef>
          </c:val>
          <c:smooth val="0"/>
          <c:extLst>
            <c:ext xmlns:c16="http://schemas.microsoft.com/office/drawing/2014/chart" uri="{C3380CC4-5D6E-409C-BE32-E72D297353CC}">
              <c16:uniqueId val="{00000000-4A4E-4232-A3BB-80293FBFBBA7}"/>
            </c:ext>
          </c:extLst>
        </c:ser>
        <c:dLbls>
          <c:showLegendKey val="0"/>
          <c:showVal val="0"/>
          <c:showCatName val="0"/>
          <c:showSerName val="0"/>
          <c:showPercent val="0"/>
          <c:showBubbleSize val="0"/>
        </c:dLbls>
        <c:marker val="1"/>
        <c:smooth val="0"/>
        <c:axId val="1817096800"/>
        <c:axId val="1817097280"/>
      </c:lineChart>
      <c:catAx>
        <c:axId val="1817096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817097280"/>
        <c:crosses val="autoZero"/>
        <c:auto val="1"/>
        <c:lblAlgn val="ctr"/>
        <c:lblOffset val="100"/>
        <c:noMultiLvlLbl val="0"/>
      </c:catAx>
      <c:valAx>
        <c:axId val="1817097280"/>
        <c:scaling>
          <c:orientation val="minMax"/>
        </c:scaling>
        <c:delete val="0"/>
        <c:axPos val="l"/>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70968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Black</a:t>
            </a:r>
            <a:r>
              <a:rPr lang="en-US" baseline="0"/>
              <a:t> 1976 vs Sigma</a:t>
            </a:r>
            <a:endParaRPr lang="en-US"/>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'Black1976 vs Sigma'!$G$6</c:f>
              <c:strCache>
                <c:ptCount val="1"/>
                <c:pt idx="0">
                  <c:v>45.06710359</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numRef>
              <c:f>'Black1976 vs Sigma'!$F$7:$F$26</c:f>
              <c:numCache>
                <c:formatCode>General</c:formatCode>
                <c:ptCount val="20"/>
                <c:pt idx="0">
                  <c:v>0.05</c:v>
                </c:pt>
                <c:pt idx="1">
                  <c:v>0.1</c:v>
                </c:pt>
                <c:pt idx="2">
                  <c:v>0.15</c:v>
                </c:pt>
                <c:pt idx="3">
                  <c:v>0.2</c:v>
                </c:pt>
                <c:pt idx="4">
                  <c:v>0.25</c:v>
                </c:pt>
                <c:pt idx="5">
                  <c:v>0.3</c:v>
                </c:pt>
                <c:pt idx="6">
                  <c:v>0.35</c:v>
                </c:pt>
                <c:pt idx="7">
                  <c:v>0.4</c:v>
                </c:pt>
                <c:pt idx="8">
                  <c:v>0.45</c:v>
                </c:pt>
                <c:pt idx="9">
                  <c:v>0.5</c:v>
                </c:pt>
                <c:pt idx="10">
                  <c:v>0.55000000000000004</c:v>
                </c:pt>
                <c:pt idx="11">
                  <c:v>0.6</c:v>
                </c:pt>
                <c:pt idx="12">
                  <c:v>0.65</c:v>
                </c:pt>
                <c:pt idx="13">
                  <c:v>0.7</c:v>
                </c:pt>
                <c:pt idx="14">
                  <c:v>0.75</c:v>
                </c:pt>
                <c:pt idx="15">
                  <c:v>0.8</c:v>
                </c:pt>
                <c:pt idx="16">
                  <c:v>0.85</c:v>
                </c:pt>
                <c:pt idx="17">
                  <c:v>0.9</c:v>
                </c:pt>
                <c:pt idx="18">
                  <c:v>0.95</c:v>
                </c:pt>
                <c:pt idx="19">
                  <c:v>1</c:v>
                </c:pt>
              </c:numCache>
            </c:numRef>
          </c:cat>
          <c:val>
            <c:numRef>
              <c:f>'Black1976 vs Sigma'!$G$7:$G$26</c:f>
              <c:numCache>
                <c:formatCode>General</c:formatCode>
                <c:ptCount val="20"/>
                <c:pt idx="0">
                  <c:v>45.06710358827786</c:v>
                </c:pt>
                <c:pt idx="1">
                  <c:v>45.067104355010748</c:v>
                </c:pt>
                <c:pt idx="2">
                  <c:v>45.068984727180201</c:v>
                </c:pt>
                <c:pt idx="3">
                  <c:v>45.108051459224427</c:v>
                </c:pt>
                <c:pt idx="4">
                  <c:v>45.274263747218718</c:v>
                </c:pt>
                <c:pt idx="5">
                  <c:v>45.631582279484924</c:v>
                </c:pt>
                <c:pt idx="6">
                  <c:v>46.188151579643396</c:v>
                </c:pt>
                <c:pt idx="7">
                  <c:v>46.92127662865218</c:v>
                </c:pt>
                <c:pt idx="8">
                  <c:v>47.799297421352065</c:v>
                </c:pt>
                <c:pt idx="9">
                  <c:v>48.791550096678115</c:v>
                </c:pt>
                <c:pt idx="10">
                  <c:v>49.871574180538239</c:v>
                </c:pt>
                <c:pt idx="11">
                  <c:v>51.017527628028361</c:v>
                </c:pt>
                <c:pt idx="12">
                  <c:v>52.211662588207716</c:v>
                </c:pt>
                <c:pt idx="13">
                  <c:v>53.439595612546412</c:v>
                </c:pt>
                <c:pt idx="14">
                  <c:v>54.689627121194142</c:v>
                </c:pt>
                <c:pt idx="15">
                  <c:v>55.952178444002641</c:v>
                </c:pt>
                <c:pt idx="16">
                  <c:v>57.219348225314128</c:v>
                </c:pt>
                <c:pt idx="17">
                  <c:v>58.484570000455093</c:v>
                </c:pt>
                <c:pt idx="18">
                  <c:v>59.742349765673737</c:v>
                </c:pt>
                <c:pt idx="19">
                  <c:v>60.98806487367267</c:v>
                </c:pt>
              </c:numCache>
            </c:numRef>
          </c:val>
          <c:smooth val="0"/>
          <c:extLst>
            <c:ext xmlns:c16="http://schemas.microsoft.com/office/drawing/2014/chart" uri="{C3380CC4-5D6E-409C-BE32-E72D297353CC}">
              <c16:uniqueId val="{00000000-6DE2-43AA-A1F7-BBDADF62A4F3}"/>
            </c:ext>
          </c:extLst>
        </c:ser>
        <c:dLbls>
          <c:showLegendKey val="0"/>
          <c:showVal val="0"/>
          <c:showCatName val="0"/>
          <c:showSerName val="0"/>
          <c:showPercent val="0"/>
          <c:showBubbleSize val="0"/>
        </c:dLbls>
        <c:marker val="1"/>
        <c:smooth val="0"/>
        <c:axId val="860743856"/>
        <c:axId val="860742416"/>
      </c:lineChart>
      <c:catAx>
        <c:axId val="8607438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860742416"/>
        <c:crosses val="autoZero"/>
        <c:auto val="1"/>
        <c:lblAlgn val="ctr"/>
        <c:lblOffset val="100"/>
        <c:noMultiLvlLbl val="0"/>
      </c:catAx>
      <c:valAx>
        <c:axId val="860742416"/>
        <c:scaling>
          <c:orientation val="minMax"/>
        </c:scaling>
        <c:delete val="0"/>
        <c:axPos val="l"/>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07438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4</xdr:col>
      <xdr:colOff>514350</xdr:colOff>
      <xdr:row>3</xdr:row>
      <xdr:rowOff>63500</xdr:rowOff>
    </xdr:from>
    <xdr:to>
      <xdr:col>10</xdr:col>
      <xdr:colOff>323850</xdr:colOff>
      <xdr:row>14</xdr:row>
      <xdr:rowOff>82550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2952750" y="615950"/>
          <a:ext cx="3467100" cy="2044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0"/>
            <a:t>An ordinary annuity is a financial structure where equal payments are made at regular intervals, with each payment occurring at the end of the period. This is different from an annuity due, where payments are made at the beginning of each period.</a:t>
          </a:r>
        </a:p>
        <a:p>
          <a:r>
            <a:rPr lang="en-IN" b="0"/>
            <a:t>* Key Characteristics of an Ordinary Annuity:</a:t>
          </a:r>
        </a:p>
        <a:p>
          <a:r>
            <a:rPr lang="en-IN" b="0"/>
            <a:t>-Payments are fixed (same amount each time).</a:t>
          </a:r>
        </a:p>
        <a:p>
          <a:r>
            <a:rPr lang="en-IN" b="0"/>
            <a:t>-Payments are made at the end of each period.</a:t>
          </a:r>
        </a:p>
        <a:p>
          <a:r>
            <a:rPr lang="en-IN" b="0"/>
            <a:t>-The time period can be annual, semi-annual, quarterly, monthly, etc.</a:t>
          </a:r>
        </a:p>
        <a:p>
          <a:r>
            <a:rPr lang="en-IN" b="0"/>
            <a:t>-The annuity ends after a fixed number of periods.</a:t>
          </a:r>
        </a:p>
        <a:p>
          <a:endParaRPr lang="en-IN" sz="1100" b="0"/>
        </a:p>
      </xdr:txBody>
    </xdr:sp>
    <xdr:clientData/>
  </xdr:twoCellAnchor>
  <xdr:twoCellAnchor>
    <xdr:from>
      <xdr:col>3</xdr:col>
      <xdr:colOff>374650</xdr:colOff>
      <xdr:row>2</xdr:row>
      <xdr:rowOff>63500</xdr:rowOff>
    </xdr:from>
    <xdr:to>
      <xdr:col>4</xdr:col>
      <xdr:colOff>488950</xdr:colOff>
      <xdr:row>4</xdr:row>
      <xdr:rowOff>165100</xdr:rowOff>
    </xdr:to>
    <xdr:cxnSp macro="">
      <xdr:nvCxnSpPr>
        <xdr:cNvPr id="4" name="Straight Arrow Connector 3">
          <a:extLst>
            <a:ext uri="{FF2B5EF4-FFF2-40B4-BE49-F238E27FC236}">
              <a16:creationId xmlns:a16="http://schemas.microsoft.com/office/drawing/2014/main" id="{00000000-0008-0000-0200-000004000000}"/>
            </a:ext>
          </a:extLst>
        </xdr:cNvPr>
        <xdr:cNvCxnSpPr/>
      </xdr:nvCxnSpPr>
      <xdr:spPr>
        <a:xfrm>
          <a:off x="2203450" y="431800"/>
          <a:ext cx="723900" cy="4699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11</xdr:col>
      <xdr:colOff>18285</xdr:colOff>
      <xdr:row>3</xdr:row>
      <xdr:rowOff>25400</xdr:rowOff>
    </xdr:from>
    <xdr:to>
      <xdr:col>17</xdr:col>
      <xdr:colOff>101889</xdr:colOff>
      <xdr:row>11</xdr:row>
      <xdr:rowOff>165225</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stretch>
          <a:fillRect/>
        </a:stretch>
      </xdr:blipFill>
      <xdr:spPr>
        <a:xfrm>
          <a:off x="6723885" y="577850"/>
          <a:ext cx="3741204" cy="1613025"/>
        </a:xfrm>
        <a:prstGeom prst="rect">
          <a:avLst/>
        </a:prstGeom>
      </xdr:spPr>
    </xdr:pic>
    <xdr:clientData/>
  </xdr:twoCellAnchor>
  <xdr:twoCellAnchor>
    <xdr:from>
      <xdr:col>4</xdr:col>
      <xdr:colOff>546100</xdr:colOff>
      <xdr:row>15</xdr:row>
      <xdr:rowOff>25400</xdr:rowOff>
    </xdr:from>
    <xdr:to>
      <xdr:col>10</xdr:col>
      <xdr:colOff>412750</xdr:colOff>
      <xdr:row>26</xdr:row>
      <xdr:rowOff>114300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984500" y="2787650"/>
          <a:ext cx="3524250" cy="2114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0"/>
            <a:t>Let’s say you are repaying a car loan of $1,000 per year for 5 years at an interest rate of 5%. Each $1,000 payment is made at the end of the year. Using the ordinary annuity formula, you can determine how much the total payment stream is worth in today’s dollars (present value).</a:t>
          </a:r>
        </a:p>
        <a:p>
          <a:r>
            <a:rPr lang="en-IN" b="0"/>
            <a:t>This structure is widely used in real-world financial applications like:</a:t>
          </a:r>
        </a:p>
        <a:p>
          <a:r>
            <a:rPr lang="en-IN" b="0"/>
            <a:t>-Loan amortization (car loans, mortgages)</a:t>
          </a:r>
        </a:p>
        <a:p>
          <a:r>
            <a:rPr lang="en-IN" b="0"/>
            <a:t>-Bond valuation (coupon payments)</a:t>
          </a:r>
        </a:p>
        <a:p>
          <a:r>
            <a:rPr lang="en-IN" b="0"/>
            <a:t>-Pension planning (fixed annual withdrawals)</a:t>
          </a:r>
        </a:p>
        <a:p>
          <a:r>
            <a:rPr lang="en-IN" b="0"/>
            <a:t>-Investment income analysis (fixed return annuities)</a:t>
          </a:r>
        </a:p>
        <a:p>
          <a:endParaRPr lang="en-IN" sz="1100" b="0"/>
        </a:p>
      </xdr:txBody>
    </xdr:sp>
    <xdr:clientData/>
  </xdr:twoCellAnchor>
  <xdr:twoCellAnchor editAs="oneCell">
    <xdr:from>
      <xdr:col>11</xdr:col>
      <xdr:colOff>0</xdr:colOff>
      <xdr:row>14</xdr:row>
      <xdr:rowOff>0</xdr:rowOff>
    </xdr:from>
    <xdr:to>
      <xdr:col>17</xdr:col>
      <xdr:colOff>266698</xdr:colOff>
      <xdr:row>24</xdr:row>
      <xdr:rowOff>120649</xdr:rowOff>
    </xdr:to>
    <xdr:pic>
      <xdr:nvPicPr>
        <xdr:cNvPr id="8" name="Picture 7">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705600" y="2578100"/>
          <a:ext cx="3924298" cy="19621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101600</xdr:colOff>
      <xdr:row>25</xdr:row>
      <xdr:rowOff>38100</xdr:rowOff>
    </xdr:from>
    <xdr:to>
      <xdr:col>17</xdr:col>
      <xdr:colOff>342900</xdr:colOff>
      <xdr:row>35</xdr:row>
      <xdr:rowOff>146050</xdr:rowOff>
    </xdr:to>
    <xdr:pic>
      <xdr:nvPicPr>
        <xdr:cNvPr id="10" name="Picture 9">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807200" y="4641850"/>
          <a:ext cx="3898900" cy="1949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565150</xdr:colOff>
      <xdr:row>27</xdr:row>
      <xdr:rowOff>57150</xdr:rowOff>
    </xdr:from>
    <xdr:to>
      <xdr:col>10</xdr:col>
      <xdr:colOff>419100</xdr:colOff>
      <xdr:row>35</xdr:row>
      <xdr:rowOff>12700</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3003550" y="5029200"/>
          <a:ext cx="3511550" cy="1428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0"/>
            <a:t> Why It’s Important:</a:t>
          </a:r>
        </a:p>
        <a:p>
          <a:r>
            <a:rPr lang="en-IN" b="0"/>
            <a:t>Understanding ordinary annuities helps financial professionals:</a:t>
          </a:r>
        </a:p>
        <a:p>
          <a:r>
            <a:rPr lang="en-IN" b="0"/>
            <a:t>-Compare investment opportunities</a:t>
          </a:r>
        </a:p>
        <a:p>
          <a:r>
            <a:rPr lang="en-IN" b="0"/>
            <a:t>-Structure debt repayments</a:t>
          </a:r>
        </a:p>
        <a:p>
          <a:r>
            <a:rPr lang="en-IN" b="0"/>
            <a:t>-Value future cash flows accurately</a:t>
          </a:r>
        </a:p>
        <a:p>
          <a:r>
            <a:rPr lang="en-IN" b="0"/>
            <a:t>-Develop personal finance plans</a:t>
          </a:r>
        </a:p>
        <a:p>
          <a:endParaRPr lang="en-IN" sz="1100" b="0"/>
        </a:p>
      </xdr:txBody>
    </xdr:sp>
    <xdr:clientData/>
  </xdr:twoCellAnchor>
  <mc:AlternateContent xmlns:mc="http://schemas.openxmlformats.org/markup-compatibility/2006">
    <mc:Choice xmlns:a14="http://schemas.microsoft.com/office/drawing/2010/main" Requires="a14">
      <xdr:twoCellAnchor>
        <xdr:from>
          <xdr:col>1</xdr:col>
          <xdr:colOff>6350</xdr:colOff>
          <xdr:row>3</xdr:row>
          <xdr:rowOff>12700</xdr:rowOff>
        </xdr:from>
        <xdr:to>
          <xdr:col>2</xdr:col>
          <xdr:colOff>0</xdr:colOff>
          <xdr:row>5</xdr:row>
          <xdr:rowOff>146050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5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7</xdr:row>
          <xdr:rowOff>19050</xdr:rowOff>
        </xdr:from>
        <xdr:to>
          <xdr:col>1</xdr:col>
          <xdr:colOff>603250</xdr:colOff>
          <xdr:row>10</xdr:row>
          <xdr:rowOff>12700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5 (ii)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31750</xdr:rowOff>
        </xdr:from>
        <xdr:to>
          <xdr:col>2</xdr:col>
          <xdr:colOff>0</xdr:colOff>
          <xdr:row>14</xdr:row>
          <xdr:rowOff>76200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5 (iii)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177800</xdr:rowOff>
        </xdr:from>
        <xdr:to>
          <xdr:col>2</xdr:col>
          <xdr:colOff>6350</xdr:colOff>
          <xdr:row>19</xdr:row>
          <xdr:rowOff>19050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5 (iv)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361950</xdr:colOff>
          <xdr:row>3</xdr:row>
          <xdr:rowOff>0</xdr:rowOff>
        </xdr:from>
        <xdr:to>
          <xdr:col>3</xdr:col>
          <xdr:colOff>438150</xdr:colOff>
          <xdr:row>6</xdr:row>
          <xdr:rowOff>6350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2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Back To 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88900</xdr:colOff>
      <xdr:row>4</xdr:row>
      <xdr:rowOff>120650</xdr:rowOff>
    </xdr:from>
    <xdr:to>
      <xdr:col>12</xdr:col>
      <xdr:colOff>152400</xdr:colOff>
      <xdr:row>14</xdr:row>
      <xdr:rowOff>107950</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4337050" y="857250"/>
          <a:ext cx="3721100" cy="184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Function PVBm(cpr, r, T, Face, m)</a:t>
          </a:r>
        </a:p>
        <a:p>
          <a:endParaRPr lang="en-IN" sz="1100"/>
        </a:p>
        <a:p>
          <a:r>
            <a:rPr lang="en-IN" sz="1100"/>
            <a:t>coup = Face * cpr / m</a:t>
          </a:r>
        </a:p>
        <a:p>
          <a:endParaRPr lang="en-IN" sz="1100"/>
        </a:p>
        <a:p>
          <a:r>
            <a:rPr lang="en-IN" sz="1100"/>
            <a:t>  </a:t>
          </a:r>
        </a:p>
        <a:p>
          <a:endParaRPr lang="en-IN" sz="1100"/>
        </a:p>
        <a:p>
          <a:r>
            <a:rPr lang="en-IN" sz="1100"/>
            <a:t>PVBm = (coup * (1 - (1 + r / m) ^ (-T * m)) / (r / m)) + Face * (1 + r / m) ^ (-T * m)</a:t>
          </a:r>
        </a:p>
        <a:p>
          <a:endParaRPr lang="en-IN" sz="1100"/>
        </a:p>
        <a:p>
          <a:r>
            <a:rPr lang="en-IN" sz="1100"/>
            <a:t>End Function</a:t>
          </a:r>
        </a:p>
        <a:p>
          <a:endParaRPr lang="en-IN" sz="1100"/>
        </a:p>
      </xdr:txBody>
    </xdr:sp>
    <xdr:clientData/>
  </xdr:twoCellAnchor>
  <xdr:twoCellAnchor>
    <xdr:from>
      <xdr:col>3</xdr:col>
      <xdr:colOff>12700</xdr:colOff>
      <xdr:row>10</xdr:row>
      <xdr:rowOff>38100</xdr:rowOff>
    </xdr:from>
    <xdr:to>
      <xdr:col>6</xdr:col>
      <xdr:colOff>76200</xdr:colOff>
      <xdr:row>13</xdr:row>
      <xdr:rowOff>82550</xdr:rowOff>
    </xdr:to>
    <xdr:cxnSp macro="">
      <xdr:nvCxnSpPr>
        <xdr:cNvPr id="4" name="Straight Arrow Connector 3">
          <a:extLst>
            <a:ext uri="{FF2B5EF4-FFF2-40B4-BE49-F238E27FC236}">
              <a16:creationId xmlns:a16="http://schemas.microsoft.com/office/drawing/2014/main" id="{00000000-0008-0000-0300-000004000000}"/>
            </a:ext>
          </a:extLst>
        </xdr:cNvPr>
        <xdr:cNvCxnSpPr/>
      </xdr:nvCxnSpPr>
      <xdr:spPr>
        <a:xfrm flipV="1">
          <a:off x="2387600" y="1879600"/>
          <a:ext cx="1936750" cy="6096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66675</xdr:colOff>
      <xdr:row>5</xdr:row>
      <xdr:rowOff>69850</xdr:rowOff>
    </xdr:from>
    <xdr:to>
      <xdr:col>15</xdr:col>
      <xdr:colOff>371475</xdr:colOff>
      <xdr:row>20</xdr:row>
      <xdr:rowOff>50800</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412750</xdr:colOff>
      <xdr:row>24</xdr:row>
      <xdr:rowOff>76200</xdr:rowOff>
    </xdr:from>
    <xdr:to>
      <xdr:col>16</xdr:col>
      <xdr:colOff>514350</xdr:colOff>
      <xdr:row>39</xdr:row>
      <xdr:rowOff>95250</xdr:rowOff>
    </xdr:to>
    <xdr:sp macro="" textlink="">
      <xdr:nvSpPr>
        <xdr:cNvPr id="2" name="Rectangle: Rounded Corners 1">
          <a:extLst>
            <a:ext uri="{FF2B5EF4-FFF2-40B4-BE49-F238E27FC236}">
              <a16:creationId xmlns:a16="http://schemas.microsoft.com/office/drawing/2014/main" id="{00000000-0008-0000-0400-000002000000}"/>
            </a:ext>
          </a:extLst>
        </xdr:cNvPr>
        <xdr:cNvSpPr/>
      </xdr:nvSpPr>
      <xdr:spPr>
        <a:xfrm>
          <a:off x="5746750" y="4495800"/>
          <a:ext cx="4978400" cy="27813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r>
            <a:rPr lang="en-IN"/>
            <a:t>Bond prices decrease as interest rates increase, reflecting the fundamental inverse relationship between the two. When interest rates are low, bond prices are relatively high—for example, at a 1% rate, the bond price is around 2,150. As the interest rate rises to 15%, the bond price falls to approximately 1,650. This decline occurs because higher interest rates reduce the present value of a bond’s future cash flows, such as coupon payments and the final repayment of principal. The relationship is not linear; the rate of decline in bond prices is steeper at lower interest rates, which highlights the concept of bond convexity. This behavior can be explained by the bond pricing formula, where each future cash flow is discounted by the interest rate:</a:t>
          </a:r>
        </a:p>
        <a:p>
          <a:r>
            <a:rPr lang="en-IN"/>
            <a:t>Bond Price=∑C/(1+r)t+F/(1+r)n ​ </a:t>
          </a:r>
        </a:p>
        <a:p>
          <a:r>
            <a:rPr lang="en-IN"/>
            <a:t>In this expression, C is the coupon payment, F is the face value, r is the interest rate, and t is the time period. As the discount rate increases, the present value of each future payment becomes smaller, leading to a lower overall bond price.</a:t>
          </a:r>
        </a:p>
        <a:p>
          <a:pPr algn="l"/>
          <a:endParaRPr lang="en-IN" sz="1100"/>
        </a:p>
      </xdr:txBody>
    </xdr:sp>
    <xdr:clientData/>
  </xdr:twoCellAnchor>
  <xdr:twoCellAnchor>
    <xdr:from>
      <xdr:col>10</xdr:col>
      <xdr:colOff>406400</xdr:colOff>
      <xdr:row>20</xdr:row>
      <xdr:rowOff>82550</xdr:rowOff>
    </xdr:from>
    <xdr:to>
      <xdr:col>11</xdr:col>
      <xdr:colOff>63500</xdr:colOff>
      <xdr:row>23</xdr:row>
      <xdr:rowOff>177800</xdr:rowOff>
    </xdr:to>
    <xdr:cxnSp macro="">
      <xdr:nvCxnSpPr>
        <xdr:cNvPr id="5" name="Straight Arrow Connector 4">
          <a:extLst>
            <a:ext uri="{FF2B5EF4-FFF2-40B4-BE49-F238E27FC236}">
              <a16:creationId xmlns:a16="http://schemas.microsoft.com/office/drawing/2014/main" id="{00000000-0008-0000-0400-000005000000}"/>
            </a:ext>
          </a:extLst>
        </xdr:cNvPr>
        <xdr:cNvCxnSpPr/>
      </xdr:nvCxnSpPr>
      <xdr:spPr>
        <a:xfrm>
          <a:off x="6959600" y="3765550"/>
          <a:ext cx="266700" cy="6477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238125</xdr:colOff>
      <xdr:row>6</xdr:row>
      <xdr:rowOff>12700</xdr:rowOff>
    </xdr:from>
    <xdr:to>
      <xdr:col>16</xdr:col>
      <xdr:colOff>266700</xdr:colOff>
      <xdr:row>19</xdr:row>
      <xdr:rowOff>19050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177800</xdr:colOff>
      <xdr:row>19</xdr:row>
      <xdr:rowOff>44450</xdr:rowOff>
    </xdr:from>
    <xdr:to>
      <xdr:col>12</xdr:col>
      <xdr:colOff>482600</xdr:colOff>
      <xdr:row>24</xdr:row>
      <xdr:rowOff>44450</xdr:rowOff>
    </xdr:to>
    <xdr:cxnSp macro="">
      <xdr:nvCxnSpPr>
        <xdr:cNvPr id="4" name="Straight Arrow Connector 3">
          <a:extLst>
            <a:ext uri="{FF2B5EF4-FFF2-40B4-BE49-F238E27FC236}">
              <a16:creationId xmlns:a16="http://schemas.microsoft.com/office/drawing/2014/main" id="{00000000-0008-0000-0500-000004000000}"/>
            </a:ext>
          </a:extLst>
        </xdr:cNvPr>
        <xdr:cNvCxnSpPr/>
      </xdr:nvCxnSpPr>
      <xdr:spPr>
        <a:xfrm>
          <a:off x="7950200" y="3543300"/>
          <a:ext cx="304800" cy="920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590550</xdr:colOff>
      <xdr:row>24</xdr:row>
      <xdr:rowOff>133350</xdr:rowOff>
    </xdr:from>
    <xdr:to>
      <xdr:col>17</xdr:col>
      <xdr:colOff>438150</xdr:colOff>
      <xdr:row>41</xdr:row>
      <xdr:rowOff>19050</xdr:rowOff>
    </xdr:to>
    <xdr:sp macro="" textlink="">
      <xdr:nvSpPr>
        <xdr:cNvPr id="5" name="Rectangle: Rounded Corners 4">
          <a:extLst>
            <a:ext uri="{FF2B5EF4-FFF2-40B4-BE49-F238E27FC236}">
              <a16:creationId xmlns:a16="http://schemas.microsoft.com/office/drawing/2014/main" id="{00000000-0008-0000-0500-000005000000}"/>
            </a:ext>
          </a:extLst>
        </xdr:cNvPr>
        <xdr:cNvSpPr/>
      </xdr:nvSpPr>
      <xdr:spPr>
        <a:xfrm>
          <a:off x="6534150" y="4552950"/>
          <a:ext cx="4724400" cy="30162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r>
            <a:rPr lang="en-IN"/>
            <a:t>This graph shows that bond prices increase as the Constant Prepayment Rate (CPR) rises. At lower CPR levels (around 1%), the bond price is just below 1,900, but as the CPR increases to 15%, the bond price climbs to nearly 2,400. This positive relationship suggests that, for the bond in question</a:t>
          </a:r>
          <a:r>
            <a:rPr lang="en-IN" baseline="0"/>
            <a:t> </a:t>
          </a:r>
          <a:r>
            <a:rPr lang="en-IN"/>
            <a:t>likely a mortgage-backed security (MBS)</a:t>
          </a:r>
          <a:r>
            <a:rPr lang="en-IN" baseline="0"/>
            <a:t> </a:t>
          </a:r>
          <a:r>
            <a:rPr lang="en-IN"/>
            <a:t>higher prepayment rates lead to higher present values. This may seem counterintuitive, as prepayments often shorten the life of a bond and reduce the total interest earned. However, in certain structures, especially when interest rates are high, faster prepayment can be favorable because it allows investors to recover principal sooner and reinvest at better yields.</a:t>
          </a:r>
        </a:p>
        <a:p>
          <a:r>
            <a:rPr lang="en-IN"/>
            <a:t>Additionally, if the bond is priced at a discount, receiving principal earlier increases its present value, as future cash flows are worth more when discounted over shorter periods. Therefore, the increasing trend in bond price with respect to CPR likely reflects such a case, where prepayments enhance the bond’s value by accelerating discounted cash flow recovery.</a:t>
          </a:r>
        </a:p>
        <a:p>
          <a:pPr algn="l"/>
          <a:endParaRPr lang="en-IN"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333375</xdr:colOff>
      <xdr:row>5</xdr:row>
      <xdr:rowOff>107950</xdr:rowOff>
    </xdr:from>
    <xdr:to>
      <xdr:col>16</xdr:col>
      <xdr:colOff>28575</xdr:colOff>
      <xdr:row>20</xdr:row>
      <xdr:rowOff>88900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406400</xdr:colOff>
      <xdr:row>24</xdr:row>
      <xdr:rowOff>101600</xdr:rowOff>
    </xdr:from>
    <xdr:to>
      <xdr:col>16</xdr:col>
      <xdr:colOff>444500</xdr:colOff>
      <xdr:row>43</xdr:row>
      <xdr:rowOff>6350</xdr:rowOff>
    </xdr:to>
    <xdr:sp macro="" textlink="">
      <xdr:nvSpPr>
        <xdr:cNvPr id="3" name="Rectangle: Rounded Corners 2">
          <a:extLst>
            <a:ext uri="{FF2B5EF4-FFF2-40B4-BE49-F238E27FC236}">
              <a16:creationId xmlns:a16="http://schemas.microsoft.com/office/drawing/2014/main" id="{00000000-0008-0000-0600-000003000000}"/>
            </a:ext>
          </a:extLst>
        </xdr:cNvPr>
        <xdr:cNvSpPr/>
      </xdr:nvSpPr>
      <xdr:spPr>
        <a:xfrm>
          <a:off x="5848350" y="4521200"/>
          <a:ext cx="4914900" cy="34036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r>
            <a:rPr lang="en-IN" b="0"/>
            <a:t>This graph shows how the bond price (BP) changes with respect to the variable mmm, which likely represents the number of payments per year or payment frequency (e.g., annual, semiannual, quarterly, etc.). The bond price decreases as mmm increases, but the rate of decrease diminishes and flattens out, indicating a converging behavior.</a:t>
          </a:r>
        </a:p>
        <a:p>
          <a:r>
            <a:rPr lang="en-IN" b="0"/>
            <a:t>At m=1, the bond price is highest (around 1992.6), and as mmm increases to 15, the price gradually declines and approaches a lower bound (around 1992.4). This pattern reflects the effect of compounding frequency on bond valuation. More frequent compounding (higher mmm) results in each payment being discounted over slightly more intervals, thus reducing the overall present value of the bond slightly.</a:t>
          </a:r>
        </a:p>
        <a:p>
          <a:r>
            <a:rPr lang="en-IN" b="0"/>
            <a:t>However, the impact is small because bond prices are not highly sensitive to changes in payment frequency beyond a certain point. The curve’s shape—steep at first, then flattening—illustrates diminishing sensitivity as mmm increases. This aligns with the theoretical expectation that the difference between, for example, annual and semiannual compounding is more significant than between monthly and daily compounding.</a:t>
          </a:r>
        </a:p>
        <a:p>
          <a:pPr algn="l"/>
          <a:endParaRPr lang="en-IN" sz="1100" b="0"/>
        </a:p>
      </xdr:txBody>
    </xdr:sp>
    <xdr:clientData/>
  </xdr:twoCellAnchor>
  <xdr:twoCellAnchor>
    <xdr:from>
      <xdr:col>11</xdr:col>
      <xdr:colOff>222250</xdr:colOff>
      <xdr:row>20</xdr:row>
      <xdr:rowOff>133350</xdr:rowOff>
    </xdr:from>
    <xdr:to>
      <xdr:col>11</xdr:col>
      <xdr:colOff>279400</xdr:colOff>
      <xdr:row>24</xdr:row>
      <xdr:rowOff>25400</xdr:rowOff>
    </xdr:to>
    <xdr:cxnSp macro="">
      <xdr:nvCxnSpPr>
        <xdr:cNvPr id="5" name="Straight Arrow Connector 4">
          <a:extLst>
            <a:ext uri="{FF2B5EF4-FFF2-40B4-BE49-F238E27FC236}">
              <a16:creationId xmlns:a16="http://schemas.microsoft.com/office/drawing/2014/main" id="{00000000-0008-0000-0600-000005000000}"/>
            </a:ext>
          </a:extLst>
        </xdr:cNvPr>
        <xdr:cNvCxnSpPr/>
      </xdr:nvCxnSpPr>
      <xdr:spPr>
        <a:xfrm>
          <a:off x="7493000" y="3816350"/>
          <a:ext cx="57150" cy="6286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73025</xdr:colOff>
      <xdr:row>22</xdr:row>
      <xdr:rowOff>31750</xdr:rowOff>
    </xdr:from>
    <xdr:to>
      <xdr:col>19</xdr:col>
      <xdr:colOff>276225</xdr:colOff>
      <xdr:row>37</xdr:row>
      <xdr:rowOff>12700</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8</xdr:col>
      <xdr:colOff>231775</xdr:colOff>
      <xdr:row>1</xdr:row>
      <xdr:rowOff>120650</xdr:rowOff>
    </xdr:from>
    <xdr:to>
      <xdr:col>15</xdr:col>
      <xdr:colOff>536575</xdr:colOff>
      <xdr:row>16</xdr:row>
      <xdr:rowOff>101600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419100</xdr:colOff>
      <xdr:row>21</xdr:row>
      <xdr:rowOff>25400</xdr:rowOff>
    </xdr:from>
    <xdr:to>
      <xdr:col>16</xdr:col>
      <xdr:colOff>273050</xdr:colOff>
      <xdr:row>37</xdr:row>
      <xdr:rowOff>95250</xdr:rowOff>
    </xdr:to>
    <xdr:sp macro="" textlink="">
      <xdr:nvSpPr>
        <xdr:cNvPr id="3" name="Rectangle: Rounded Corners 2">
          <a:extLst>
            <a:ext uri="{FF2B5EF4-FFF2-40B4-BE49-F238E27FC236}">
              <a16:creationId xmlns:a16="http://schemas.microsoft.com/office/drawing/2014/main" id="{00000000-0008-0000-0900-000003000000}"/>
            </a:ext>
          </a:extLst>
        </xdr:cNvPr>
        <xdr:cNvSpPr/>
      </xdr:nvSpPr>
      <xdr:spPr>
        <a:xfrm>
          <a:off x="5295900" y="3892550"/>
          <a:ext cx="4730750" cy="301625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r>
            <a:rPr lang="en-IN"/>
            <a:t>This graph shows that </a:t>
          </a:r>
          <a:r>
            <a:rPr lang="en-IN" b="1"/>
            <a:t>duration</a:t>
          </a:r>
          <a:r>
            <a:rPr lang="en-IN"/>
            <a:t> decreases as the </a:t>
          </a:r>
          <a:r>
            <a:rPr lang="en-IN" b="1"/>
            <a:t>Constant Prepayment Rate (CPR)</a:t>
          </a:r>
          <a:r>
            <a:rPr lang="en-IN"/>
            <a:t> increases. Duration, which measures the weighted average time to receive a bond's cash flows, starts near 2.95 when CPR is 1% and steadily declines to around 2.6 when CPR reaches 15%. This inverse relationship indicates that higher prepayment rates shorten the effective life of the bond, since principal is returned to investors more quickly.</a:t>
          </a:r>
        </a:p>
        <a:p>
          <a:r>
            <a:rPr lang="en-IN"/>
            <a:t>As CPR rises, borrowers are more likely to prepay their loans, especially in mortgage-backed securities. These prepayments lead to earlier-than-expected cash flows, reducing the bond’s sensitivity to interest rate changes</a:t>
          </a:r>
          <a:r>
            <a:rPr lang="en-IN" baseline="0"/>
            <a:t> </a:t>
          </a:r>
          <a:r>
            <a:rPr lang="en-IN"/>
            <a:t>which is precisely what duration captures. Therefore, the decline in duration with increasing CPR reflects the fact that bonds become less interest-rate-sensitive when the expected time horizon for receiving cash flows is shortened due to higher prepayments. This behavior is crucial in managing interest rate risk in portfolios that contain prepayable securities.</a:t>
          </a:r>
        </a:p>
        <a:p>
          <a:pPr algn="l"/>
          <a:endParaRPr lang="en-IN" sz="1100"/>
        </a:p>
      </xdr:txBody>
    </xdr:sp>
    <xdr:clientData/>
  </xdr:twoCellAnchor>
  <xdr:twoCellAnchor>
    <xdr:from>
      <xdr:col>11</xdr:col>
      <xdr:colOff>158750</xdr:colOff>
      <xdr:row>16</xdr:row>
      <xdr:rowOff>114300</xdr:rowOff>
    </xdr:from>
    <xdr:to>
      <xdr:col>11</xdr:col>
      <xdr:colOff>285750</xdr:colOff>
      <xdr:row>20</xdr:row>
      <xdr:rowOff>165100</xdr:rowOff>
    </xdr:to>
    <xdr:cxnSp macro="">
      <xdr:nvCxnSpPr>
        <xdr:cNvPr id="5" name="Straight Arrow Connector 4">
          <a:extLst>
            <a:ext uri="{FF2B5EF4-FFF2-40B4-BE49-F238E27FC236}">
              <a16:creationId xmlns:a16="http://schemas.microsoft.com/office/drawing/2014/main" id="{00000000-0008-0000-0900-000005000000}"/>
            </a:ext>
          </a:extLst>
        </xdr:cNvPr>
        <xdr:cNvCxnSpPr/>
      </xdr:nvCxnSpPr>
      <xdr:spPr>
        <a:xfrm>
          <a:off x="6864350" y="3060700"/>
          <a:ext cx="127000" cy="7874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454025</xdr:colOff>
      <xdr:row>5</xdr:row>
      <xdr:rowOff>146050</xdr:rowOff>
    </xdr:from>
    <xdr:to>
      <xdr:col>15</xdr:col>
      <xdr:colOff>149225</xdr:colOff>
      <xdr:row>20</xdr:row>
      <xdr:rowOff>127000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158750</xdr:colOff>
      <xdr:row>25</xdr:row>
      <xdr:rowOff>63500</xdr:rowOff>
    </xdr:from>
    <xdr:to>
      <xdr:col>17</xdr:col>
      <xdr:colOff>127000</xdr:colOff>
      <xdr:row>46</xdr:row>
      <xdr:rowOff>38100</xdr:rowOff>
    </xdr:to>
    <xdr:sp macro="" textlink="">
      <xdr:nvSpPr>
        <xdr:cNvPr id="3" name="Rectangle: Rounded Corners 2">
          <a:extLst>
            <a:ext uri="{FF2B5EF4-FFF2-40B4-BE49-F238E27FC236}">
              <a16:creationId xmlns:a16="http://schemas.microsoft.com/office/drawing/2014/main" id="{00000000-0008-0000-0A00-000003000000}"/>
            </a:ext>
          </a:extLst>
        </xdr:cNvPr>
        <xdr:cNvSpPr/>
      </xdr:nvSpPr>
      <xdr:spPr>
        <a:xfrm>
          <a:off x="5035550" y="4667250"/>
          <a:ext cx="5454650" cy="384175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r>
            <a:rPr lang="en-IN"/>
            <a:t>The chart illustrates the relationship between a bond’s </a:t>
          </a:r>
          <a:r>
            <a:rPr lang="en-IN" b="1"/>
            <a:t>duration (DUR)</a:t>
          </a:r>
          <a:r>
            <a:rPr lang="en-IN"/>
            <a:t> and its </a:t>
          </a:r>
          <a:r>
            <a:rPr lang="en-IN" b="1"/>
            <a:t>maturity (M)</a:t>
          </a:r>
          <a:r>
            <a:rPr lang="en-IN"/>
            <a:t>. From the graph, it is evident that duration initially decreases sharply as maturity increases, falling from approximately 2.86 at a maturity of 1 year to around 2.80 by year 5. Beyond this point, the rate of decrease slows significantly, with duration flattening out and stabilizing near 2.78 from year 10 onwards. This creates a convex curve, indicating that while early increases in maturity have a noticeable impact on duration, the effect diminishes with longer maturities.</a:t>
          </a:r>
        </a:p>
        <a:p>
          <a:r>
            <a:rPr lang="en-IN"/>
            <a:t>This behavior aligns with key principles in fixed income analysis. Duration, which measures a bond’s sensitivity to changes in interest rates, tends to increase with maturity, but at a decreasing rate—especially for bonds with intermediate to long maturities. The flattening of the curve suggests that additional years of maturity contribute less and less to duration because the present value of those distant cash flows becomes increasingly insignificant. The fact that duration is consistently lower than maturity indicates that this is likely a </a:t>
          </a:r>
          <a:r>
            <a:rPr lang="en-IN" b="1"/>
            <a:t>coupon-bearing bond</a:t>
          </a:r>
          <a:r>
            <a:rPr lang="en-IN"/>
            <a:t>, as zero-coupon bonds would show a linear one-to-one relationship. Overall, the chart highlights the diminishing marginal sensitivity of duration to maturity extensions in bonds with periodic payments.</a:t>
          </a:r>
        </a:p>
        <a:p>
          <a:pPr algn="l"/>
          <a:endParaRPr lang="en-IN" sz="1100"/>
        </a:p>
      </xdr:txBody>
    </xdr:sp>
    <xdr:clientData/>
  </xdr:twoCellAnchor>
  <xdr:twoCellAnchor>
    <xdr:from>
      <xdr:col>10</xdr:col>
      <xdr:colOff>558800</xdr:colOff>
      <xdr:row>20</xdr:row>
      <xdr:rowOff>158750</xdr:rowOff>
    </xdr:from>
    <xdr:to>
      <xdr:col>11</xdr:col>
      <xdr:colOff>127000</xdr:colOff>
      <xdr:row>25</xdr:row>
      <xdr:rowOff>31750</xdr:rowOff>
    </xdr:to>
    <xdr:cxnSp macro="">
      <xdr:nvCxnSpPr>
        <xdr:cNvPr id="5" name="Straight Arrow Connector 4">
          <a:extLst>
            <a:ext uri="{FF2B5EF4-FFF2-40B4-BE49-F238E27FC236}">
              <a16:creationId xmlns:a16="http://schemas.microsoft.com/office/drawing/2014/main" id="{00000000-0008-0000-0A00-000005000000}"/>
            </a:ext>
          </a:extLst>
        </xdr:cNvPr>
        <xdr:cNvCxnSpPr/>
      </xdr:nvCxnSpPr>
      <xdr:spPr>
        <a:xfrm>
          <a:off x="6654800" y="3841750"/>
          <a:ext cx="177800" cy="793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xdr:from>
      <xdr:col>7</xdr:col>
      <xdr:colOff>600075</xdr:colOff>
      <xdr:row>5</xdr:row>
      <xdr:rowOff>12700</xdr:rowOff>
    </xdr:from>
    <xdr:to>
      <xdr:col>15</xdr:col>
      <xdr:colOff>295275</xdr:colOff>
      <xdr:row>19</xdr:row>
      <xdr:rowOff>177800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19050</xdr:colOff>
      <xdr:row>22</xdr:row>
      <xdr:rowOff>114300</xdr:rowOff>
    </xdr:from>
    <xdr:to>
      <xdr:col>15</xdr:col>
      <xdr:colOff>412750</xdr:colOff>
      <xdr:row>41</xdr:row>
      <xdr:rowOff>44450</xdr:rowOff>
    </xdr:to>
    <xdr:sp macro="" textlink="">
      <xdr:nvSpPr>
        <xdr:cNvPr id="3" name="Rectangle: Rounded Corners 2">
          <a:extLst>
            <a:ext uri="{FF2B5EF4-FFF2-40B4-BE49-F238E27FC236}">
              <a16:creationId xmlns:a16="http://schemas.microsoft.com/office/drawing/2014/main" id="{00000000-0008-0000-0B00-000003000000}"/>
            </a:ext>
          </a:extLst>
        </xdr:cNvPr>
        <xdr:cNvSpPr/>
      </xdr:nvSpPr>
      <xdr:spPr>
        <a:xfrm>
          <a:off x="4895850" y="4165600"/>
          <a:ext cx="4660900" cy="3429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r>
            <a:rPr lang="en-IN"/>
            <a:t>The graph illustrates how a bond’s duration decreases as the interest rate increases. As the rate rises from 1% to 15%, the duration steadily declines from approximately 2.87 to around 2.83. This demonstrates a clear inverse relationship between interest rates and duration, which is a fundamental concept in fixed income analysis.</a:t>
          </a:r>
        </a:p>
        <a:p>
          <a:r>
            <a:rPr lang="en-IN"/>
            <a:t>Duration measures a bond's sensitivity to interest rate changes. When rates increase, the present value of future cash flows decreases, especially those further in the future. This shift causes the weighted average time to receive cash flows to shorten, thereby reducing duration. The nearly linear pattern in the graph suggests that the bond likely pays fixed coupons and that changes in interest rates consistently reduce its duration.</a:t>
          </a:r>
        </a:p>
        <a:p>
          <a:r>
            <a:rPr lang="en-IN"/>
            <a:t>This relationship is particularly relevant for managing interest rate risk. As interest rates rise, bonds become less sensitive to additional rate increases, and their duration falls accordingly. This behavior reflects typical market dynamics for coupon-bearing bonds, where earlier cash flows dominate the bond’s value under higher discount rates.</a:t>
          </a:r>
        </a:p>
        <a:p>
          <a:pPr algn="l"/>
          <a:endParaRPr lang="en-IN" sz="1100"/>
        </a:p>
      </xdr:txBody>
    </xdr:sp>
    <xdr:clientData/>
  </xdr:twoCellAnchor>
  <xdr:twoCellAnchor>
    <xdr:from>
      <xdr:col>10</xdr:col>
      <xdr:colOff>584200</xdr:colOff>
      <xdr:row>20</xdr:row>
      <xdr:rowOff>31750</xdr:rowOff>
    </xdr:from>
    <xdr:to>
      <xdr:col>11</xdr:col>
      <xdr:colOff>285750</xdr:colOff>
      <xdr:row>22</xdr:row>
      <xdr:rowOff>82550</xdr:rowOff>
    </xdr:to>
    <xdr:cxnSp macro="">
      <xdr:nvCxnSpPr>
        <xdr:cNvPr id="5" name="Straight Arrow Connector 4">
          <a:extLst>
            <a:ext uri="{FF2B5EF4-FFF2-40B4-BE49-F238E27FC236}">
              <a16:creationId xmlns:a16="http://schemas.microsoft.com/office/drawing/2014/main" id="{00000000-0008-0000-0B00-000005000000}"/>
            </a:ext>
          </a:extLst>
        </xdr:cNvPr>
        <xdr:cNvCxnSpPr/>
      </xdr:nvCxnSpPr>
      <xdr:spPr>
        <a:xfrm>
          <a:off x="6680200" y="3714750"/>
          <a:ext cx="311150" cy="4191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11</xdr:col>
      <xdr:colOff>374650</xdr:colOff>
      <xdr:row>4</xdr:row>
      <xdr:rowOff>31750</xdr:rowOff>
    </xdr:from>
    <xdr:to>
      <xdr:col>17</xdr:col>
      <xdr:colOff>203687</xdr:colOff>
      <xdr:row>19</xdr:row>
      <xdr:rowOff>162346</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7080250" y="768350"/>
          <a:ext cx="3486637" cy="2924596"/>
        </a:xfrm>
        <a:prstGeom prst="rect">
          <a:avLst/>
        </a:prstGeom>
      </xdr:spPr>
    </xdr:pic>
    <xdr:clientData/>
  </xdr:twoCellAnchor>
  <xdr:twoCellAnchor>
    <xdr:from>
      <xdr:col>3</xdr:col>
      <xdr:colOff>527050</xdr:colOff>
      <xdr:row>15</xdr:row>
      <xdr:rowOff>6350</xdr:rowOff>
    </xdr:from>
    <xdr:to>
      <xdr:col>11</xdr:col>
      <xdr:colOff>165100</xdr:colOff>
      <xdr:row>43</xdr:row>
      <xdr:rowOff>107950</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2355850" y="2768600"/>
          <a:ext cx="4514850" cy="5257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a:t>Managing the duration of assets and liabilities is critically important for financial regulators because it directly relates to a bank’s exposure to interest rate risk. Duration measures how sensitive the value of financial instruments is to changes in interest rates. When a bank’s assets have a much longer duration than its liabilities, a rise in interest rates can significantly reduce the value of those assets while the liabilities remain relatively unaffected. This mismatch can create substantial losses, reduce a bank’s capital, and potentially trigger liquidity issues if liabilities must be paid off before the assets recover or mature. Regulators are concerned with this because such mismatches can threaten the stability of individual institutions and the financial system as a whole.</a:t>
          </a:r>
        </a:p>
        <a:p>
          <a:r>
            <a:rPr lang="en-IN"/>
            <a:t>The collapse of Silicon Valley Bank (SVB) in March 2023 is a clear example of the dangers of poor duration management. SVB invested heavily in long-term securities such as U.S. Treasuries and mortgage-backed securities, which have high duration. At the same time, the bank’s funding base</a:t>
          </a:r>
          <a:r>
            <a:rPr lang="en-IN" baseline="0"/>
            <a:t> </a:t>
          </a:r>
          <a:r>
            <a:rPr lang="en-IN"/>
            <a:t>primarily customer deposits</a:t>
          </a:r>
          <a:r>
            <a:rPr lang="en-IN" baseline="0"/>
            <a:t> </a:t>
          </a:r>
          <a:r>
            <a:rPr lang="en-IN"/>
            <a:t>was short-term and highly sensitive to market conditions. When interest rates rose rapidly, the market value of SVB’s long-term assets fell sharply. Meanwhile, anxious depositors began withdrawing funds in large amounts. To meet these demands, SVB had to sell assets at a loss, which further weakened its financial position and led to a classic bank run. The bank’s inability to manage the duration mismatch between its assets and liabilities ultimately led to its failure.</a:t>
          </a:r>
        </a:p>
        <a:p>
          <a:r>
            <a:rPr lang="en-IN"/>
            <a:t>In response, financial regulators are now emphasizing the need for banks to closely monitor and manage their interest rate risk. This includes conducting more rigorous stress testing, improving transparency around duration mismatches, and ensuring that liquidity buffers are sufficient to absorb shocks. The SVB case underscores the fact that even institutions with strong credit quality can collapse if they ignore the fundamental principles of asset-liability duration management.</a:t>
          </a:r>
        </a:p>
        <a:p>
          <a:endParaRPr lang="en-IN" sz="1100"/>
        </a:p>
      </xdr:txBody>
    </xdr:sp>
    <xdr:clientData/>
  </xdr:twoCellAnchor>
  <mc:AlternateContent xmlns:mc="http://schemas.openxmlformats.org/markup-compatibility/2006">
    <mc:Choice xmlns:a14="http://schemas.microsoft.com/office/drawing/2010/main" Requires="a14">
      <xdr:twoCellAnchor>
        <xdr:from>
          <xdr:col>0</xdr:col>
          <xdr:colOff>444500</xdr:colOff>
          <xdr:row>0</xdr:row>
          <xdr:rowOff>171450</xdr:rowOff>
        </xdr:from>
        <xdr:to>
          <xdr:col>2</xdr:col>
          <xdr:colOff>349250</xdr:colOff>
          <xdr:row>4</xdr:row>
          <xdr:rowOff>57150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C00-000001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Back To Menu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xdr:col>
      <xdr:colOff>355600</xdr:colOff>
      <xdr:row>18</xdr:row>
      <xdr:rowOff>19050</xdr:rowOff>
    </xdr:from>
    <xdr:to>
      <xdr:col>15</xdr:col>
      <xdr:colOff>355600</xdr:colOff>
      <xdr:row>29</xdr:row>
      <xdr:rowOff>95250</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965200" y="3333750"/>
          <a:ext cx="8807450" cy="2101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a:t>Yield to Maturity (YTM) can be estimated using the </a:t>
          </a:r>
          <a:r>
            <a:rPr lang="en-IN" b="1"/>
            <a:t>bisection technique</a:t>
          </a:r>
          <a:r>
            <a:rPr lang="en-IN"/>
            <a:t>, a numerical method used to find roots of continuous functions. In the context of bond pricing, YTM is the discount rate that equates the present value of the bond's future cash flows (coupons and face value) to its current market price. However, because the bond pricing formula is non-linear in terms of the interest rate, solving for YTM analytically is not straightforward. The bisection method offers a practical way to approximate it by iteratively narrowing down the range in which the YTM lies.</a:t>
          </a:r>
        </a:p>
        <a:p>
          <a:r>
            <a:rPr lang="en-IN"/>
            <a:t>The process begins with two initial guesses: a lower bound and an upper bound for the YTM</a:t>
          </a:r>
          <a:r>
            <a:rPr lang="en-IN" baseline="0"/>
            <a:t> </a:t>
          </a:r>
          <a:r>
            <a:rPr lang="en-IN"/>
            <a:t>typically values that are expected to bracket the true rate. The midpoint of this range is calculated, and the present value of the bond is computed using this rate. If the resulting price is greater than the market price (the target), it means the trial rate is too low, so the lower bound is updated to the midpoint. If the present value is less than the target price, the trial rate is too high, and the upper bound is adjusted instead. This process continues, repeatedly halving the interval, until the difference between the bounds is smaller than a pre-defined tolerance (e.g., 0.0001), at which point the midpoint is taken as the approximate YTM.</a:t>
          </a:r>
        </a:p>
        <a:p>
          <a:r>
            <a:rPr lang="en-IN"/>
            <a:t>This technique is particularly useful because it does not require derivatives or complex calculations</a:t>
          </a:r>
          <a:r>
            <a:rPr lang="en-IN" baseline="0"/>
            <a:t> </a:t>
          </a:r>
          <a:r>
            <a:rPr lang="en-IN"/>
            <a:t>just simple iteration and comparison</a:t>
          </a:r>
          <a:r>
            <a:rPr lang="en-IN" baseline="0"/>
            <a:t> </a:t>
          </a:r>
          <a:r>
            <a:rPr lang="en-IN"/>
            <a:t>making it an accessible and effective approach for estimating YTM when analytical methods are not feasible.</a:t>
          </a:r>
        </a:p>
        <a:p>
          <a:endParaRPr lang="en-IN" sz="1100"/>
        </a:p>
      </xdr:txBody>
    </xdr:sp>
    <xdr:clientData/>
  </xdr:twoCellAnchor>
  <mc:AlternateContent xmlns:mc="http://schemas.openxmlformats.org/markup-compatibility/2006">
    <mc:Choice xmlns:a14="http://schemas.microsoft.com/office/drawing/2010/main" Requires="a14">
      <xdr:twoCellAnchor>
        <xdr:from>
          <xdr:col>0</xdr:col>
          <xdr:colOff>342900</xdr:colOff>
          <xdr:row>0</xdr:row>
          <xdr:rowOff>165100</xdr:rowOff>
        </xdr:from>
        <xdr:to>
          <xdr:col>1</xdr:col>
          <xdr:colOff>603250</xdr:colOff>
          <xdr:row>4</xdr:row>
          <xdr:rowOff>57150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D00-000001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Back To Menu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8</xdr:col>
      <xdr:colOff>0</xdr:colOff>
      <xdr:row>12</xdr:row>
      <xdr:rowOff>0</xdr:rowOff>
    </xdr:from>
    <xdr:to>
      <xdr:col>15</xdr:col>
      <xdr:colOff>304800</xdr:colOff>
      <xdr:row>26</xdr:row>
      <xdr:rowOff>165100</xdr:rowOff>
    </xdr:to>
    <xdr:graphicFrame macro="">
      <xdr:nvGraphicFramePr>
        <xdr:cNvPr id="9" name="Chart 8">
          <a:extLst>
            <a:ext uri="{FF2B5EF4-FFF2-40B4-BE49-F238E27FC236}">
              <a16:creationId xmlns:a16="http://schemas.microsoft.com/office/drawing/2014/main" id="{00000000-0008-0000-0F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285750</xdr:colOff>
      <xdr:row>31</xdr:row>
      <xdr:rowOff>19050</xdr:rowOff>
    </xdr:from>
    <xdr:to>
      <xdr:col>19</xdr:col>
      <xdr:colOff>63500</xdr:colOff>
      <xdr:row>46</xdr:row>
      <xdr:rowOff>25400</xdr:rowOff>
    </xdr:to>
    <xdr:sp macro="" textlink="">
      <xdr:nvSpPr>
        <xdr:cNvPr id="10" name="TextBox 9">
          <a:extLst>
            <a:ext uri="{FF2B5EF4-FFF2-40B4-BE49-F238E27FC236}">
              <a16:creationId xmlns:a16="http://schemas.microsoft.com/office/drawing/2014/main" id="{00000000-0008-0000-0F00-00000A000000}"/>
            </a:ext>
          </a:extLst>
        </xdr:cNvPr>
        <xdr:cNvSpPr txBox="1"/>
      </xdr:nvSpPr>
      <xdr:spPr>
        <a:xfrm>
          <a:off x="5372100" y="5727700"/>
          <a:ext cx="6781800" cy="2768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a:t>Interest-Only (IO) and Principal-Only (PO) strips are derived from mortgage-backed securities and behave very differently in response to changes in interest rates due to the way cash flows are structured. When interest rates fall, borrowers tend to refinance their mortgages, leading to higher prepayments. This benefits PO strips, as more of the principal is returned earlier, increasing the present value of their cash flows. In contrast, IO strips are hurt by falling rates because the stream of interest payments shortens as the underlying principal is paid off more quickly. Conversely, when interest rates rise, prepayment slows down. This benefits IO strips, as they continue to receive interest for a longer period, but it negatively affects PO strips because the return of principal is delayed and thus discounted more heavily.</a:t>
          </a:r>
        </a:p>
        <a:p>
          <a:r>
            <a:rPr lang="en-IN"/>
            <a:t>In actual markets, IO and PO strips can be traded separately to express views on future interest rate movements or to hedge interest rate risk. Investors who expect interest rates to decline may buy PO strips to benefit from early principal repayments, while those expecting rising rates may favor IO strips for their extended interest payment streams. These strips are typically traded by institutional investors, such as hedge funds or insurance companies, and are often used in structured portfolio strategies. The separate trading of IO and PO strips allows for more precise exposure to interest rate dynamics and is a key tool in managing duration and convexity in fixed income portfolios.</a:t>
          </a:r>
        </a:p>
        <a:p>
          <a:endParaRPr lang="en-IN" sz="1100"/>
        </a:p>
      </xdr:txBody>
    </xdr:sp>
    <xdr:clientData/>
  </xdr:twoCellAnchor>
  <mc:AlternateContent xmlns:mc="http://schemas.openxmlformats.org/markup-compatibility/2006">
    <mc:Choice xmlns:a14="http://schemas.microsoft.com/office/drawing/2010/main" Requires="a14">
      <xdr:twoCellAnchor>
        <xdr:from>
          <xdr:col>0</xdr:col>
          <xdr:colOff>412750</xdr:colOff>
          <xdr:row>0</xdr:row>
          <xdr:rowOff>177800</xdr:rowOff>
        </xdr:from>
        <xdr:to>
          <xdr:col>2</xdr:col>
          <xdr:colOff>6350</xdr:colOff>
          <xdr:row>3</xdr:row>
          <xdr:rowOff>139700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F00-000001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Back To Menu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209550</xdr:colOff>
          <xdr:row>0</xdr:row>
          <xdr:rowOff>114300</xdr:rowOff>
        </xdr:from>
        <xdr:to>
          <xdr:col>1</xdr:col>
          <xdr:colOff>19050</xdr:colOff>
          <xdr:row>3</xdr:row>
          <xdr:rowOff>76200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1000-000001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Back To Menu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5</xdr:col>
      <xdr:colOff>209550</xdr:colOff>
      <xdr:row>3</xdr:row>
      <xdr:rowOff>95250</xdr:rowOff>
    </xdr:from>
    <xdr:to>
      <xdr:col>14</xdr:col>
      <xdr:colOff>279400</xdr:colOff>
      <xdr:row>18</xdr:row>
      <xdr:rowOff>120650</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3270250" y="647700"/>
          <a:ext cx="5556250" cy="278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0"/>
            <a:t>The value of a call option on a futures contract is sensitive to changes in both the futures price (F) and the volatility</a:t>
          </a:r>
          <a:r>
            <a:rPr lang="el-GR" b="0"/>
            <a:t> </a:t>
          </a:r>
          <a:r>
            <a:rPr lang="en-IN" b="0"/>
            <a:t>of the underlying asset. As the futures price increases, the call option becomes more valuable because the probability of the option finishing in-the-money increases. In your case, with a futures price (F) of 150 and a strike price (k) of 100, the option is already deep in-the-money, which is why the call price is relatively high at 22.47, even though the volatility is quite low.</a:t>
          </a:r>
        </a:p>
        <a:p>
          <a:r>
            <a:rPr lang="en-IN" b="0"/>
            <a:t>Regarding volatility, it represents the expected fluctuations in the futures price. A higher volatility increases the value of the call option because it raises the likelihood that the futures price will end up significantly above the strike price before expiration. In your calculation, the volatility</a:t>
          </a:r>
          <a:r>
            <a:rPr lang="el-GR" b="0"/>
            <a:t> </a:t>
          </a:r>
          <a:r>
            <a:rPr lang="en-IN" b="0"/>
            <a:t>is just 0.05, which is low, suggesting that the underlying asset is expected to be relatively stable. Despite this, the call still has a significant value primarily due to the large difference between the futures price (F = 150) and the strike price (k = 100), combined with a high risk-free rate (r = 0.4) and a long time to maturity (T = 2). If the volatility were increased, holding all other factors constant, the call value would increase as well. Conversely, lowering the futures price or reducing volatility would decrease the value of the call.</a:t>
          </a:r>
        </a:p>
        <a:p>
          <a:endParaRPr lang="en-IN" sz="1100" b="0"/>
        </a:p>
      </xdr:txBody>
    </xdr:sp>
    <xdr:clientData/>
  </xdr:twoCellAnchor>
  <xdr:twoCellAnchor>
    <xdr:from>
      <xdr:col>3</xdr:col>
      <xdr:colOff>82550</xdr:colOff>
      <xdr:row>8</xdr:row>
      <xdr:rowOff>44450</xdr:rowOff>
    </xdr:from>
    <xdr:to>
      <xdr:col>5</xdr:col>
      <xdr:colOff>114300</xdr:colOff>
      <xdr:row>11</xdr:row>
      <xdr:rowOff>38100</xdr:rowOff>
    </xdr:to>
    <xdr:cxnSp macro="">
      <xdr:nvCxnSpPr>
        <xdr:cNvPr id="4" name="Straight Arrow Connector 3">
          <a:extLst>
            <a:ext uri="{FF2B5EF4-FFF2-40B4-BE49-F238E27FC236}">
              <a16:creationId xmlns:a16="http://schemas.microsoft.com/office/drawing/2014/main" id="{00000000-0008-0000-1100-000004000000}"/>
            </a:ext>
          </a:extLst>
        </xdr:cNvPr>
        <xdr:cNvCxnSpPr/>
      </xdr:nvCxnSpPr>
      <xdr:spPr>
        <a:xfrm flipV="1">
          <a:off x="1924050" y="1517650"/>
          <a:ext cx="1250950" cy="5461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546100</xdr:colOff>
      <xdr:row>19</xdr:row>
      <xdr:rowOff>120650</xdr:rowOff>
    </xdr:from>
    <xdr:to>
      <xdr:col>15</xdr:col>
      <xdr:colOff>171450</xdr:colOff>
      <xdr:row>39</xdr:row>
      <xdr:rowOff>171450</xdr:rowOff>
    </xdr:to>
    <xdr:sp macro="" textlink="">
      <xdr:nvSpPr>
        <xdr:cNvPr id="5" name="Rectangle: Rounded Corners 4">
          <a:extLst>
            <a:ext uri="{FF2B5EF4-FFF2-40B4-BE49-F238E27FC236}">
              <a16:creationId xmlns:a16="http://schemas.microsoft.com/office/drawing/2014/main" id="{00000000-0008-0000-1100-000005000000}"/>
            </a:ext>
          </a:extLst>
        </xdr:cNvPr>
        <xdr:cNvSpPr/>
      </xdr:nvSpPr>
      <xdr:spPr>
        <a:xfrm>
          <a:off x="2997200" y="3619500"/>
          <a:ext cx="6330950" cy="37338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N" b="0" i="0"/>
            <a:t>Options on bond futures are powerful tools for hedging interest rate risk, particularly for financial institutions, portfolio managers, and traders who are exposed to fluctuations in bond prices due to changes in interest rates. These options provide a flexible and cost-effective way to protect against adverse interest rate movements without needing to transact in the underlying bond itself.</a:t>
          </a:r>
        </a:p>
        <a:p>
          <a:r>
            <a:rPr lang="en-IN" b="0" i="0"/>
            <a:t>Here's how it works: bond prices and interest rates move inversely</a:t>
          </a:r>
          <a:r>
            <a:rPr lang="en-IN" b="0" i="0" baseline="0"/>
            <a:t> </a:t>
          </a:r>
          <a:r>
            <a:rPr lang="en-IN" b="0" i="0"/>
            <a:t>when interest rates rise, bond prices fall, and vice versa. A call option on a bond future gives the holder the right (but not the obligation) to buy the underlying futures contract at a set price. If a portfolio manager is worried that interest rates might fall (which would cause bond prices to rise), they can buy a call option on bond futures to gain from the potential price increase in bonds. This acts as a hedge against being underexposed to bonds during a rally.</a:t>
          </a:r>
        </a:p>
        <a:p>
          <a:r>
            <a:rPr lang="en-IN" b="0" i="0"/>
            <a:t>Conversely, if the concern is that interest rates will rise (and bond prices will drop), the manager could buy a put option on bond futures. This provides a payoff if bond futures decline in value, offsetting the losses from holding actual bonds in the portfolio. Because options have limited downside (the premium paid), they provide asymmetric protection, meaning the hedge is in place if the adverse movement occurs, but the upside potential remains if rates move favorably.</a:t>
          </a:r>
        </a:p>
        <a:p>
          <a:r>
            <a:rPr lang="en-IN" b="0" i="0"/>
            <a:t>In summary, options on bond futures allow for strategic interest rate risk management. They enable market participants to guard against rate changes while maintaining flexibility, and because they are derivatives on futures, they are also highly liquid and capital-efficient, making them ideal instruments for managing fixed-income risk.</a:t>
          </a:r>
        </a:p>
        <a:p>
          <a:pPr algn="l"/>
          <a:endParaRPr lang="en-IN" sz="1100" b="0" i="0"/>
        </a:p>
      </xdr:txBody>
    </xdr:sp>
    <xdr:clientData/>
  </xdr:twoCellAnchor>
  <mc:AlternateContent xmlns:mc="http://schemas.openxmlformats.org/markup-compatibility/2006">
    <mc:Choice xmlns:a14="http://schemas.microsoft.com/office/drawing/2010/main" Requires="a14">
      <xdr:twoCellAnchor>
        <xdr:from>
          <xdr:col>15</xdr:col>
          <xdr:colOff>222250</xdr:colOff>
          <xdr:row>1</xdr:row>
          <xdr:rowOff>19050</xdr:rowOff>
        </xdr:from>
        <xdr:to>
          <xdr:col>16</xdr:col>
          <xdr:colOff>603250</xdr:colOff>
          <xdr:row>3</xdr:row>
          <xdr:rowOff>38100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100-000001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6 (ii)</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8</xdr:col>
      <xdr:colOff>542925</xdr:colOff>
      <xdr:row>2</xdr:row>
      <xdr:rowOff>107950</xdr:rowOff>
    </xdr:from>
    <xdr:to>
      <xdr:col>16</xdr:col>
      <xdr:colOff>238125</xdr:colOff>
      <xdr:row>17</xdr:row>
      <xdr:rowOff>88900</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234950</xdr:colOff>
      <xdr:row>20</xdr:row>
      <xdr:rowOff>63500</xdr:rowOff>
    </xdr:from>
    <xdr:to>
      <xdr:col>16</xdr:col>
      <xdr:colOff>482600</xdr:colOff>
      <xdr:row>43</xdr:row>
      <xdr:rowOff>19050</xdr:rowOff>
    </xdr:to>
    <xdr:sp macro="" textlink="">
      <xdr:nvSpPr>
        <xdr:cNvPr id="3" name="Rectangle: Rounded Corners 2">
          <a:extLst>
            <a:ext uri="{FF2B5EF4-FFF2-40B4-BE49-F238E27FC236}">
              <a16:creationId xmlns:a16="http://schemas.microsoft.com/office/drawing/2014/main" id="{00000000-0008-0000-1200-000003000000}"/>
            </a:ext>
          </a:extLst>
        </xdr:cNvPr>
        <xdr:cNvSpPr/>
      </xdr:nvSpPr>
      <xdr:spPr>
        <a:xfrm>
          <a:off x="5784850" y="3746500"/>
          <a:ext cx="4514850" cy="41910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r>
            <a:rPr lang="en-IN" b="0"/>
            <a:t>The graph shows the relationship between futures prices and their corresponding values under the Black (1976) model for option pricing on futures. For lower futures prices</a:t>
          </a:r>
          <a:r>
            <a:rPr lang="en-IN" b="0" baseline="0"/>
            <a:t> </a:t>
          </a:r>
          <a:r>
            <a:rPr lang="en-IN" b="0"/>
            <a:t>ranging approximately from 10 to 100</a:t>
          </a:r>
          <a:r>
            <a:rPr lang="en-IN" b="0" baseline="0"/>
            <a:t> </a:t>
          </a:r>
          <a:r>
            <a:rPr lang="en-IN" b="0"/>
            <a:t>the model output remains very close to zero. However, beyond a futures price of 100, the value begins to increase sharply, and the curve becomes upward sloping and convex, eventually reaching about 45 at a futures price of 200.</a:t>
          </a:r>
        </a:p>
        <a:p>
          <a:r>
            <a:rPr lang="en-IN" b="0"/>
            <a:t>This behavior reflects the payoff structure of a call option on a futures contract, as modeled by the Black (1976) framework. When the futures price is below the strike price (likely around 100 in this case), the option is out of the money, and thus its value is near zero. As the futures price crosses the strike, the option becomes in the money, and its value starts to rise significantly. The increasing slope indicates that the delta of the option (sensitivity to changes in the underlying futures price) grows as the futures price rises, which is characteristic of call options.</a:t>
          </a:r>
        </a:p>
        <a:p>
          <a:r>
            <a:rPr lang="en-IN" b="0"/>
            <a:t>In summary, the graph captures how the value of a call option on a futures contract</a:t>
          </a:r>
          <a:r>
            <a:rPr lang="en-IN" b="0" baseline="0"/>
            <a:t> </a:t>
          </a:r>
          <a:r>
            <a:rPr lang="en-IN" b="0"/>
            <a:t>according to the Black model</a:t>
          </a:r>
          <a:r>
            <a:rPr lang="en-IN" b="0" baseline="0"/>
            <a:t> </a:t>
          </a:r>
          <a:r>
            <a:rPr lang="en-IN" b="0"/>
            <a:t>responds to varying futures prices. The flat region followed by a sharp, accelerating increase in value is consistent with the nonlinear payoff structure of derivative instruments.</a:t>
          </a:r>
        </a:p>
        <a:p>
          <a:pPr algn="l"/>
          <a:endParaRPr lang="en-IN" sz="1100" b="0"/>
        </a:p>
      </xdr:txBody>
    </xdr:sp>
    <xdr:clientData/>
  </xdr:twoCellAnchor>
  <xdr:twoCellAnchor>
    <xdr:from>
      <xdr:col>12</xdr:col>
      <xdr:colOff>260350</xdr:colOff>
      <xdr:row>17</xdr:row>
      <xdr:rowOff>146050</xdr:rowOff>
    </xdr:from>
    <xdr:to>
      <xdr:col>12</xdr:col>
      <xdr:colOff>260350</xdr:colOff>
      <xdr:row>20</xdr:row>
      <xdr:rowOff>63500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7639050" y="3276600"/>
          <a:ext cx="0" cy="4699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6.xml><?xml version="1.0" encoding="utf-8"?>
<xdr:wsDr xmlns:xdr="http://schemas.openxmlformats.org/drawingml/2006/spreadsheetDrawing" xmlns:a="http://schemas.openxmlformats.org/drawingml/2006/main">
  <xdr:twoCellAnchor>
    <xdr:from>
      <xdr:col>8</xdr:col>
      <xdr:colOff>333375</xdr:colOff>
      <xdr:row>4</xdr:row>
      <xdr:rowOff>0</xdr:rowOff>
    </xdr:from>
    <xdr:to>
      <xdr:col>16</xdr:col>
      <xdr:colOff>28575</xdr:colOff>
      <xdr:row>18</xdr:row>
      <xdr:rowOff>165100</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21</xdr:row>
      <xdr:rowOff>139700</xdr:rowOff>
    </xdr:from>
    <xdr:to>
      <xdr:col>17</xdr:col>
      <xdr:colOff>336550</xdr:colOff>
      <xdr:row>38</xdr:row>
      <xdr:rowOff>95250</xdr:rowOff>
    </xdr:to>
    <xdr:sp macro="" textlink="">
      <xdr:nvSpPr>
        <xdr:cNvPr id="3" name="Rectangle: Rounded Corners 2">
          <a:extLst>
            <a:ext uri="{FF2B5EF4-FFF2-40B4-BE49-F238E27FC236}">
              <a16:creationId xmlns:a16="http://schemas.microsoft.com/office/drawing/2014/main" id="{00000000-0008-0000-1300-000003000000}"/>
            </a:ext>
          </a:extLst>
        </xdr:cNvPr>
        <xdr:cNvSpPr/>
      </xdr:nvSpPr>
      <xdr:spPr>
        <a:xfrm>
          <a:off x="5549900" y="4006850"/>
          <a:ext cx="5213350" cy="30861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r>
            <a:rPr lang="en-IN" b="0"/>
            <a:t>The graph depicts the relationship between the value of an option (based on the Black 1976 model) and volatility (</a:t>
          </a:r>
          <a:r>
            <a:rPr lang="el-GR" b="0"/>
            <a:t> </a:t>
          </a:r>
          <a:r>
            <a:rPr lang="en-IN" b="0"/>
            <a:t>or sigma). As volatility increases from 0.05 to 1, the option's value increases steadily</a:t>
          </a:r>
          <a:r>
            <a:rPr lang="en-IN" b="0" baseline="0"/>
            <a:t> </a:t>
          </a:r>
          <a:r>
            <a:rPr lang="en-IN" b="0"/>
            <a:t>from around 46 to above 60</a:t>
          </a:r>
          <a:r>
            <a:rPr lang="en-IN" b="0" baseline="0"/>
            <a:t> </a:t>
          </a:r>
          <a:r>
            <a:rPr lang="en-IN" b="0"/>
            <a:t>showing a positive, convex relationship between the two variables.</a:t>
          </a:r>
        </a:p>
        <a:p>
          <a:r>
            <a:rPr lang="en-IN" b="0"/>
            <a:t>This behavior reflects a fundamental principle in option pricing: option value increases with volatility. Higher volatility implies a greater likelihood that the underlying futures price will move significantly, increasing the probability that the option will finish in the money. The upward-sloping curve indicates that the option becomes more valuable as uncertainty (i.e., sigma) grows.</a:t>
          </a:r>
        </a:p>
        <a:p>
          <a:r>
            <a:rPr lang="en-IN" b="0"/>
            <a:t>Early in the curve, the increase is relatively flat, suggesting lower sensitivity of the option’s value to small changes in volatility when sigma is low. As sigma increases, the curve steepens slightly, which is consistent with vega, the measure of how sensitive an option's price is to changes in volatility. In short, this graph clearly shows that under the Black 1976 model, option value is an increasing and convex function of volatility, a key feature of all standard option pricing models.</a:t>
          </a:r>
        </a:p>
        <a:p>
          <a:pPr algn="l"/>
          <a:endParaRPr lang="en-IN" sz="1100" b="0"/>
        </a:p>
      </xdr:txBody>
    </xdr:sp>
    <xdr:clientData/>
  </xdr:twoCellAnchor>
  <xdr:twoCellAnchor>
    <xdr:from>
      <xdr:col>11</xdr:col>
      <xdr:colOff>88900</xdr:colOff>
      <xdr:row>19</xdr:row>
      <xdr:rowOff>0</xdr:rowOff>
    </xdr:from>
    <xdr:to>
      <xdr:col>11</xdr:col>
      <xdr:colOff>266700</xdr:colOff>
      <xdr:row>21</xdr:row>
      <xdr:rowOff>107950</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a:off x="6858000" y="3498850"/>
          <a:ext cx="177800" cy="4762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285750</xdr:colOff>
          <xdr:row>0</xdr:row>
          <xdr:rowOff>133350</xdr:rowOff>
        </xdr:from>
        <xdr:to>
          <xdr:col>2</xdr:col>
          <xdr:colOff>0</xdr:colOff>
          <xdr:row>2</xdr:row>
          <xdr:rowOff>177800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13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Back To Menu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12</xdr:col>
      <xdr:colOff>266700</xdr:colOff>
      <xdr:row>7</xdr:row>
      <xdr:rowOff>44450</xdr:rowOff>
    </xdr:from>
    <xdr:to>
      <xdr:col>22</xdr:col>
      <xdr:colOff>107950</xdr:colOff>
      <xdr:row>23</xdr:row>
      <xdr:rowOff>165100</xdr:rowOff>
    </xdr:to>
    <xdr:sp macro="" textlink="">
      <xdr:nvSpPr>
        <xdr:cNvPr id="2" name="TextBox 1">
          <a:extLst>
            <a:ext uri="{FF2B5EF4-FFF2-40B4-BE49-F238E27FC236}">
              <a16:creationId xmlns:a16="http://schemas.microsoft.com/office/drawing/2014/main" id="{00000000-0008-0000-1400-000002000000}"/>
            </a:ext>
          </a:extLst>
        </xdr:cNvPr>
        <xdr:cNvSpPr txBox="1"/>
      </xdr:nvSpPr>
      <xdr:spPr>
        <a:xfrm>
          <a:off x="7677150" y="1333500"/>
          <a:ext cx="6210300" cy="3067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a:t>Value at Risk (VaR) and Conditional Value at Risk (CVaR), also known as Expected Shortfall, are crucial tools for regulatory purposes under the Basel Accords because they quantify the amount of market risk a financial institution faces. VaR measures the maximum expected loss over a specific time horizon at a given confidence level</a:t>
          </a:r>
          <a:r>
            <a:rPr lang="en-IN" baseline="0"/>
            <a:t> </a:t>
          </a:r>
          <a:r>
            <a:rPr lang="en-IN"/>
            <a:t>for example, the 99% loss over 10 days. Under Basel II and Basel 2.5, banks using internal models were required to calculate VaR to determine their capital requirements for market risk. This helped ensure that banks held sufficient capital to withstand normal market fluctuations, while also allowing regulators to compare risk levels across institutions in a standardized manner.</a:t>
          </a:r>
        </a:p>
        <a:p>
          <a:r>
            <a:rPr lang="en-IN"/>
            <a:t>However, VaR has limitations, particularly its inability to capture losses beyond the chosen confidence level. This is where CVaR, or Expected Shortfall, becomes important. CVaR measures the average loss in the worst-case scenarios</a:t>
          </a:r>
          <a:r>
            <a:rPr lang="en-IN" baseline="0"/>
            <a:t> </a:t>
          </a:r>
          <a:r>
            <a:rPr lang="en-IN"/>
            <a:t>those beyond the VaR threshold</a:t>
          </a:r>
          <a:r>
            <a:rPr lang="en-IN" baseline="0"/>
            <a:t> </a:t>
          </a:r>
          <a:r>
            <a:rPr lang="en-IN"/>
            <a:t>thus capturing tail risk more effectively. Recognizing this, Basel III and the Fundamental Review of the Trading Book (FRTB) replaced VaR with Expected Shortfall as the preferred metric for market risk capital requirements. Unlike VaR, CVaR is a coherent risk measure, meaning it satisfies important mathematical properties like subadditivity, which makes it better suited for assessing diversification effects and ensuring robust capital adequacy. In summary, VaR and CVaR play central roles in the Basel framework by providing quantitative tools to assess and manage market risk, but CVaR has become the favored approach due to its improved ability to reflect extreme losses.</a:t>
          </a:r>
        </a:p>
        <a:p>
          <a:endParaRPr lang="en-IN" sz="11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13</xdr:col>
      <xdr:colOff>603250</xdr:colOff>
      <xdr:row>7</xdr:row>
      <xdr:rowOff>146050</xdr:rowOff>
    </xdr:from>
    <xdr:to>
      <xdr:col>23</xdr:col>
      <xdr:colOff>342900</xdr:colOff>
      <xdr:row>27</xdr:row>
      <xdr:rowOff>127000</xdr:rowOff>
    </xdr:to>
    <xdr:sp macro="" textlink="">
      <xdr:nvSpPr>
        <xdr:cNvPr id="2" name="TextBox 1">
          <a:extLst>
            <a:ext uri="{FF2B5EF4-FFF2-40B4-BE49-F238E27FC236}">
              <a16:creationId xmlns:a16="http://schemas.microsoft.com/office/drawing/2014/main" id="{00000000-0008-0000-1500-000002000000}"/>
            </a:ext>
          </a:extLst>
        </xdr:cNvPr>
        <xdr:cNvSpPr txBox="1"/>
      </xdr:nvSpPr>
      <xdr:spPr>
        <a:xfrm>
          <a:off x="7308850" y="1435100"/>
          <a:ext cx="5835650" cy="3663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a:t>The Taylor Rule provides a guideline for setting the federal funds rate based on inflation, the output gap, and the equilibrium real interest rate. Using data from the Federal Reserve Bank of St. Louis (FRED), the rule can be estimated as:</a:t>
          </a:r>
        </a:p>
        <a:p>
          <a:r>
            <a:rPr lang="en-IN" b="1"/>
            <a:t>i = r* + </a:t>
          </a:r>
          <a:r>
            <a:rPr lang="el-GR" b="1"/>
            <a:t>π + 0.5(π − π*) + 0.5(</a:t>
          </a:r>
          <a:r>
            <a:rPr lang="en-IN" b="1"/>
            <a:t>y − y*)</a:t>
          </a:r>
          <a:r>
            <a:rPr lang="en-IN"/>
            <a:t>,</a:t>
          </a:r>
        </a:p>
        <a:p>
          <a:r>
            <a:rPr lang="en-IN"/>
            <a:t>where </a:t>
          </a:r>
          <a:r>
            <a:rPr lang="en-IN" i="1"/>
            <a:t>i</a:t>
          </a:r>
          <a:r>
            <a:rPr lang="en-IN"/>
            <a:t> is the nominal federal funds rate, </a:t>
          </a:r>
          <a:r>
            <a:rPr lang="el-GR" i="1"/>
            <a:t>π</a:t>
          </a:r>
          <a:r>
            <a:rPr lang="el-GR"/>
            <a:t> </a:t>
          </a:r>
          <a:r>
            <a:rPr lang="en-IN"/>
            <a:t>is the inflation rate, </a:t>
          </a:r>
          <a:r>
            <a:rPr lang="el-GR" i="1"/>
            <a:t>π*</a:t>
          </a:r>
          <a:r>
            <a:rPr lang="el-GR"/>
            <a:t> </a:t>
          </a:r>
          <a:r>
            <a:rPr lang="en-IN"/>
            <a:t>is the target inflation rate (commonly 2%), </a:t>
          </a:r>
          <a:r>
            <a:rPr lang="en-IN" i="1"/>
            <a:t>y − y*</a:t>
          </a:r>
          <a:r>
            <a:rPr lang="en-IN"/>
            <a:t> is the output gap, and </a:t>
          </a:r>
          <a:r>
            <a:rPr lang="en-IN" i="1"/>
            <a:t>r*</a:t>
          </a:r>
          <a:r>
            <a:rPr lang="en-IN"/>
            <a:t> is the equilibrium real interest rate (often assumed to be around 2%). When applying this rule to actual data from the early 2000s, particularly between 2001 and 2005, the estimated Taylor Rule suggests that the federal funds rate should have been significantly higher than the rate actually set by the Federal Reserve under Chairman Alan Greenspan. During this period, the Fed maintained interest rates at unusually low levels, even as the economy recovered from the 2001 recession and housing prices began to surge. This deviation from the Taylor Rule—where the actual rate was often more than 1 to 2 percentage points below the prescribed level—has led many economists to argue that Greenspan’s policy was overly accommodative. This overly loose monetary policy is believed to have contributed to excessive risk-taking and the eventual housing bubble, which played a major role in the 2007–2008 financial crisis. Thus, the evidence from the Taylor Rule highlights a significant divergence in Fed policy during this time, suggesting that Greenspan “got off track” by not tightening monetary conditions sooner.</a:t>
          </a:r>
        </a:p>
        <a:p>
          <a:endParaRPr lang="en-IN" sz="1100"/>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7</xdr:col>
      <xdr:colOff>103532</xdr:colOff>
      <xdr:row>23</xdr:row>
      <xdr:rowOff>158749</xdr:rowOff>
    </xdr:from>
    <xdr:to>
      <xdr:col>16</xdr:col>
      <xdr:colOff>200163</xdr:colOff>
      <xdr:row>46</xdr:row>
      <xdr:rowOff>117336</xdr:rowOff>
    </xdr:to>
    <xdr:sp macro="" textlink="">
      <xdr:nvSpPr>
        <xdr:cNvPr id="2" name="Rectangle: Rounded Corners 1">
          <a:extLst>
            <a:ext uri="{FF2B5EF4-FFF2-40B4-BE49-F238E27FC236}">
              <a16:creationId xmlns:a16="http://schemas.microsoft.com/office/drawing/2014/main" id="{00000000-0008-0000-1800-000002000000}"/>
            </a:ext>
          </a:extLst>
        </xdr:cNvPr>
        <xdr:cNvSpPr/>
      </xdr:nvSpPr>
      <xdr:spPr>
        <a:xfrm>
          <a:off x="7109239" y="4486412"/>
          <a:ext cx="6108424" cy="4244837"/>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r>
            <a:rPr lang="en-IN"/>
            <a:t>The regression output provides insights into the relationship between a dependent variable and two independent variables: inflation and unemployment. The model demonstrates a good fit, with an R-squared value of 0.5552, indicating that approximately 55.5% of the variation in the dependent variable is explained by the two predictors. The adjusted R-squared, slightly lower at 0.5432, confirms the model remains strong even after accounting for the number of predictors. The standard error of 0.015 suggests that the residuals are relatively small, and the sample size of 77 observations lends further credibility to the results.</a:t>
          </a:r>
        </a:p>
        <a:p>
          <a:r>
            <a:rPr lang="en-IN"/>
            <a:t>The ANOVA table supports the overall significance of the model. With an F-statistic of 46.18 and a significance F value of 9.59 × 10⁻¹⁴, the model is statistically significant, meaning that at least one of the predictors has a meaningful relationship with the dependent variable. Examining the individual coefficients, both inflation and unemployment have statistically significant effects. Inflation has a positive coefficient of 1.4241 with a p-value of 1.99 × 10⁻¹³, indicating that a one-unit increase in inflation is associated with a 1.42-unit increase in the dependent variable, holding unemployment constant. Conversely, unemployment has a negative coefficient of -0.8976 and a p-value of 8.83 × 10⁻⁶, suggesting that a one-unit increase in unemployment leads to a 0.90-unit decrease in the dependent variable, assuming inflation is held constant.</a:t>
          </a:r>
        </a:p>
        <a:p>
          <a:r>
            <a:rPr lang="en-IN"/>
            <a:t>The confidence intervals for both coefficients exclude zero, reinforcing their statistical significance. Overall, the model demonstrates that both inflation and unemployment have meaningful, opposing effects on the dependent variable, with inflation exerting a positive influence and unemployment a negative one. These results are consistent with economic intuition and indicate a well-fitting, statistically robust model.</a:t>
          </a:r>
        </a:p>
        <a:p>
          <a:pPr algn="l"/>
          <a:endParaRPr lang="en-IN" sz="1100"/>
        </a:p>
      </xdr:txBody>
    </xdr:sp>
    <xdr:clientData/>
  </xdr:twoCellAnchor>
  <xdr:twoCellAnchor>
    <xdr:from>
      <xdr:col>9</xdr:col>
      <xdr:colOff>510761</xdr:colOff>
      <xdr:row>20</xdr:row>
      <xdr:rowOff>89728</xdr:rowOff>
    </xdr:from>
    <xdr:to>
      <xdr:col>10</xdr:col>
      <xdr:colOff>186359</xdr:colOff>
      <xdr:row>23</xdr:row>
      <xdr:rowOff>124239</xdr:rowOff>
    </xdr:to>
    <xdr:sp macro="" textlink="">
      <xdr:nvSpPr>
        <xdr:cNvPr id="3" name="Arrow: Down 2">
          <a:extLst>
            <a:ext uri="{FF2B5EF4-FFF2-40B4-BE49-F238E27FC236}">
              <a16:creationId xmlns:a16="http://schemas.microsoft.com/office/drawing/2014/main" id="{00000000-0008-0000-1800-000003000000}"/>
            </a:ext>
          </a:extLst>
        </xdr:cNvPr>
        <xdr:cNvSpPr/>
      </xdr:nvSpPr>
      <xdr:spPr>
        <a:xfrm>
          <a:off x="9276522" y="3858315"/>
          <a:ext cx="282989" cy="593587"/>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7</xdr:col>
      <xdr:colOff>667289</xdr:colOff>
      <xdr:row>25</xdr:row>
      <xdr:rowOff>139915</xdr:rowOff>
    </xdr:from>
    <xdr:to>
      <xdr:col>18</xdr:col>
      <xdr:colOff>21525</xdr:colOff>
      <xdr:row>45</xdr:row>
      <xdr:rowOff>161440</xdr:rowOff>
    </xdr:to>
    <xdr:sp macro="" textlink="">
      <xdr:nvSpPr>
        <xdr:cNvPr id="2" name="Rectangle: Rounded Corners 1">
          <a:extLst>
            <a:ext uri="{FF2B5EF4-FFF2-40B4-BE49-F238E27FC236}">
              <a16:creationId xmlns:a16="http://schemas.microsoft.com/office/drawing/2014/main" id="{00000000-0008-0000-1900-000002000000}"/>
            </a:ext>
          </a:extLst>
        </xdr:cNvPr>
        <xdr:cNvSpPr/>
      </xdr:nvSpPr>
      <xdr:spPr>
        <a:xfrm>
          <a:off x="6177797" y="4789407"/>
          <a:ext cx="9202118" cy="3680847"/>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r>
            <a:rPr lang="en-IN" b="0"/>
            <a:t>This regression output analyzes the impact of inflation, unemployment, and dummy variables on a dependent variable (unspecified, but likely an economic indicator or return metric). Compared to the earlier model without dummy variables, this version includes an additional categorical control, and the results demonstrate a significantly improved fit and explanatory power.</a:t>
          </a:r>
        </a:p>
        <a:p>
          <a:r>
            <a:rPr lang="en-IN" b="0"/>
            <a:t>The R-squared value is 0.8483, which means the model now explains approximately 84.8% of the variation in the dependent variable. The adjusted R-squared is 0.8420, showing the model remains robust even after accounting for the additional dummy variable. The standard error has decreased to 0.0088, indicating more precise predictions and reduced residual variance. The F-statistic of 136.04 with a Significance F value of 8.17 × 10⁻³⁰ confirms that the overall regression is highly statistically significant.</a:t>
          </a:r>
        </a:p>
        <a:p>
          <a:r>
            <a:rPr lang="en-IN" b="0"/>
            <a:t>Looking at the coefficients, inflation continues to have a positive and significant impact (coefficient = 1.1988, p-value ≈ 6.2 × 10⁻⁸), indicating that a one-unit increase in inflation is associated with a 1.20-unit increase in the dependent variable, holding other factors constant. Unemployment has a strong negative impact (coefficient = -1.3042, p-value ≈ 1.12 × 10⁻¹³), suggesting that higher unemployment significantly reduces the dependent variable.</a:t>
          </a:r>
        </a:p>
        <a:p>
          <a:r>
            <a:rPr lang="en-IN" b="0"/>
            <a:t>The dummy variable has a coefficient of -0.0267 and an extremely small p-value (≈ 1.02 × 10⁻¹⁸), meaning it is highly statistically significant. The negative coefficient suggests that the presence of the categorical condition represented by the dummy variable leads to a downward shift in the dependent variable by approximately 0.027 units, on average.</a:t>
          </a:r>
        </a:p>
        <a:p>
          <a:r>
            <a:rPr lang="en-IN" b="0"/>
            <a:t>In summary, this extended model captures more of the variation in the dependent variable and shows that all three predictors—including the dummy variable—have statistically significant effects. Including the dummy variable has not only improved model fit substantially but also revealed a structural shift or difference based on the categorical factor being controlled for.</a:t>
          </a:r>
        </a:p>
        <a:p>
          <a:pPr algn="l"/>
          <a:endParaRPr lang="en-IN" sz="1100" b="0"/>
        </a:p>
      </xdr:txBody>
    </xdr:sp>
    <xdr:clientData/>
  </xdr:twoCellAnchor>
  <xdr:twoCellAnchor>
    <xdr:from>
      <xdr:col>10</xdr:col>
      <xdr:colOff>217465</xdr:colOff>
      <xdr:row>22</xdr:row>
      <xdr:rowOff>34794</xdr:rowOff>
    </xdr:from>
    <xdr:to>
      <xdr:col>10</xdr:col>
      <xdr:colOff>434931</xdr:colOff>
      <xdr:row>25</xdr:row>
      <xdr:rowOff>130480</xdr:rowOff>
    </xdr:to>
    <xdr:sp macro="" textlink="">
      <xdr:nvSpPr>
        <xdr:cNvPr id="3" name="Arrow: Down 2">
          <a:extLst>
            <a:ext uri="{FF2B5EF4-FFF2-40B4-BE49-F238E27FC236}">
              <a16:creationId xmlns:a16="http://schemas.microsoft.com/office/drawing/2014/main" id="{00000000-0008-0000-1900-000003000000}"/>
            </a:ext>
          </a:extLst>
        </xdr:cNvPr>
        <xdr:cNvSpPr/>
      </xdr:nvSpPr>
      <xdr:spPr>
        <a:xfrm>
          <a:off x="9090068" y="4114452"/>
          <a:ext cx="217466" cy="643699"/>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3</xdr:col>
      <xdr:colOff>425450</xdr:colOff>
      <xdr:row>4</xdr:row>
      <xdr:rowOff>19050</xdr:rowOff>
    </xdr:from>
    <xdr:to>
      <xdr:col>16</xdr:col>
      <xdr:colOff>457200</xdr:colOff>
      <xdr:row>19</xdr:row>
      <xdr:rowOff>44450</xdr:rowOff>
    </xdr:to>
    <xdr:sp macro="" textlink="">
      <xdr:nvSpPr>
        <xdr:cNvPr id="2" name="TextBox 1">
          <a:extLst>
            <a:ext uri="{FF2B5EF4-FFF2-40B4-BE49-F238E27FC236}">
              <a16:creationId xmlns:a16="http://schemas.microsoft.com/office/drawing/2014/main" id="{00000000-0008-0000-1A00-000002000000}"/>
            </a:ext>
          </a:extLst>
        </xdr:cNvPr>
        <xdr:cNvSpPr txBox="1"/>
      </xdr:nvSpPr>
      <xdr:spPr>
        <a:xfrm>
          <a:off x="2254250" y="755650"/>
          <a:ext cx="7956550" cy="278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0"/>
            <a:t>In Chapter 3 of </a:t>
          </a:r>
          <a:r>
            <a:rPr lang="en-IN" b="0" i="1"/>
            <a:t>Machine Learning in Business</a:t>
          </a:r>
          <a:r>
            <a:rPr lang="en-IN" b="0"/>
            <a:t> by John C. Hull, logistic regression is applied to estimate credit risk for loans issued by LendingClub, a peer-to-peer lending platform. The objective is to predict whether a loan will be “Fully Paid” or “Charged Off” (i.e., defaulted), based on borrower features. The dataset used in the case study includes 12,290 loans, of which 9,733 were fully paid and 2,557 defaulted. The model incorporates four key features: home ownership status, income, debt-to-income ratio, and credit score (FICO). Logistic regression is appropriate here because the target variable is binary—indicating either a good or bad loan outcome. The model uses the sigmoid function to convert linear combinations of input features into probabilities, and its parameters are estimated using maximum likelihood estimation.</a:t>
          </a:r>
        </a:p>
        <a:p>
          <a:r>
            <a:rPr lang="en-IN" b="0"/>
            <a:t>Because the data is imbalanced (more good loans than bad), the analysis explores different probability thresholds (Z values) rather than simply classifying loans as good or bad based on a 0.5 cutoff. For example, thresholds of 0.75, 0.80, and 0.85 are tested to balance the trade-off between accepting profitable loans and avoiding defaults. The model's performance is evaluated using metrics such as confusion matrices and the Area Under the ROC Curve (AUC), with an AUC of 0.6578 indicating moderate predictive ability. One insight from the regression coefficients is that the FICO score has a significant positive coefficient (0.3632), implying that higher credit scores are strongly associated with fully paid loans. On the other hand, the income variable was not statistically significant, suggesting it has limited explanatory power in predicting default risk in this model. Overall, Hull’s application of logistic regression demonstrates a practical, interpretable approach to credit risk modeling using real-world lending data.</a:t>
          </a:r>
        </a:p>
        <a:p>
          <a:endParaRPr lang="en-IN" sz="1100" b="0"/>
        </a:p>
      </xdr:txBody>
    </xdr:sp>
    <xdr:clientData/>
  </xdr:twoCellAnchor>
  <mc:AlternateContent xmlns:mc="http://schemas.openxmlformats.org/markup-compatibility/2006">
    <mc:Choice xmlns:a14="http://schemas.microsoft.com/office/drawing/2010/main" Requires="a14">
      <xdr:twoCellAnchor>
        <xdr:from>
          <xdr:col>0</xdr:col>
          <xdr:colOff>285750</xdr:colOff>
          <xdr:row>0</xdr:row>
          <xdr:rowOff>171450</xdr:rowOff>
        </xdr:from>
        <xdr:to>
          <xdr:col>1</xdr:col>
          <xdr:colOff>596900</xdr:colOff>
          <xdr:row>3</xdr:row>
          <xdr:rowOff>114300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1A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Back To Menu</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hyperlink" Target="https://colab.research.google.com/drive/1LdgCflC9fg-E7sbtrcFbX3Z4MVf8dYbn?usp=sharing"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colab.research.google.com/drive/1G3sg0sFyo737NztPQ6EP5EDBnwI4XXTn?usp=sharing"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hyperlink" Target="https://colab.research.google.com/drive/1qiKDIpL3ReiGcw-fuY3qUBoOK-8ShKAr?usp=sharing" TargetMode="Externa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1" Type="http://schemas.openxmlformats.org/officeDocument/2006/relationships/hyperlink" Target="https://colab.research.google.com/drive/15LAYOzIEyXYIIGdMEqZthDPEucSCTWct?usp=sharing"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hyperlink" Target="https://colab.research.google.com/drive/1JdsSbYtxXMrrBnTkinufIImRjCcU_P4W?usp=sharing" TargetMode="External"/><Relationship Id="rId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6.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7.vml"/><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hyperlink" Target="https://colab.research.google.com/drive/1zjpacZxTpiwcWrIgwDvyVOHVVoMmSV1J?usp=sharing" TargetMode="External"/><Relationship Id="rId1" Type="http://schemas.openxmlformats.org/officeDocument/2006/relationships/hyperlink" Target="https://colab.research.google.com/drive/1WO8zQk-_Q2xVSSTy_qby0_-iMWZ6l5DT?usp=sharing" TargetMode="Externa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8.vml"/><Relationship Id="rId1" Type="http://schemas.openxmlformats.org/officeDocument/2006/relationships/drawing" Target="../drawings/drawing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DD8A47-ADAB-40AC-9F5D-460F25F9E356}">
  <sheetPr codeName="Sheet1">
    <tabColor theme="7" tint="0.79998168889431442"/>
  </sheetPr>
  <dimension ref="B2"/>
  <sheetViews>
    <sheetView workbookViewId="0">
      <selection activeCell="D26" sqref="D26"/>
    </sheetView>
  </sheetViews>
  <sheetFormatPr defaultRowHeight="14.5" x14ac:dyDescent="0.35"/>
  <sheetData>
    <row r="2" spans="2:2" x14ac:dyDescent="0.35">
      <c r="B2" s="1" t="s">
        <v>0</v>
      </c>
    </row>
  </sheetData>
  <hyperlinks>
    <hyperlink ref="B2" r:id="rId1" xr:uid="{88F15812-A931-49B5-8CCF-D71BB3E8AD22}"/>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cro2">
                <anchor moveWithCells="1" sizeWithCells="1">
                  <from>
                    <xdr:col>1</xdr:col>
                    <xdr:colOff>6350</xdr:colOff>
                    <xdr:row>3</xdr:row>
                    <xdr:rowOff>12700</xdr:rowOff>
                  </from>
                  <to>
                    <xdr:col>2</xdr:col>
                    <xdr:colOff>0</xdr:colOff>
                    <xdr:row>5</xdr:row>
                    <xdr:rowOff>146050</xdr:rowOff>
                  </to>
                </anchor>
              </controlPr>
            </control>
          </mc:Choice>
        </mc:AlternateContent>
        <mc:AlternateContent xmlns:mc="http://schemas.openxmlformats.org/markup-compatibility/2006">
          <mc:Choice Requires="x14">
            <control shapeId="1026" r:id="rId5" name="Button 2">
              <controlPr defaultSize="0" print="0" autoFill="0" autoPict="0" macro="[0]!Macro4">
                <anchor moveWithCells="1" sizeWithCells="1">
                  <from>
                    <xdr:col>1</xdr:col>
                    <xdr:colOff>19050</xdr:colOff>
                    <xdr:row>7</xdr:row>
                    <xdr:rowOff>19050</xdr:rowOff>
                  </from>
                  <to>
                    <xdr:col>1</xdr:col>
                    <xdr:colOff>603250</xdr:colOff>
                    <xdr:row>10</xdr:row>
                    <xdr:rowOff>12700</xdr:rowOff>
                  </to>
                </anchor>
              </controlPr>
            </control>
          </mc:Choice>
        </mc:AlternateContent>
        <mc:AlternateContent xmlns:mc="http://schemas.openxmlformats.org/markup-compatibility/2006">
          <mc:Choice Requires="x14">
            <control shapeId="1027" r:id="rId6" name="Button 3">
              <controlPr defaultSize="0" print="0" autoFill="0" autoPict="0" macro="[0]!Macro3">
                <anchor moveWithCells="1" sizeWithCells="1">
                  <from>
                    <xdr:col>1</xdr:col>
                    <xdr:colOff>0</xdr:colOff>
                    <xdr:row>11</xdr:row>
                    <xdr:rowOff>31750</xdr:rowOff>
                  </from>
                  <to>
                    <xdr:col>2</xdr:col>
                    <xdr:colOff>0</xdr:colOff>
                    <xdr:row>14</xdr:row>
                    <xdr:rowOff>76200</xdr:rowOff>
                  </to>
                </anchor>
              </controlPr>
            </control>
          </mc:Choice>
        </mc:AlternateContent>
        <mc:AlternateContent xmlns:mc="http://schemas.openxmlformats.org/markup-compatibility/2006">
          <mc:Choice Requires="x14">
            <control shapeId="1028" r:id="rId7" name="Button 4">
              <controlPr defaultSize="0" print="0" autoFill="0" autoPict="0" macro="[0]!Button4_Click">
                <anchor moveWithCells="1" sizeWithCells="1">
                  <from>
                    <xdr:col>1</xdr:col>
                    <xdr:colOff>19050</xdr:colOff>
                    <xdr:row>15</xdr:row>
                    <xdr:rowOff>177800</xdr:rowOff>
                  </from>
                  <to>
                    <xdr:col>2</xdr:col>
                    <xdr:colOff>6350</xdr:colOff>
                    <xdr:row>19</xdr:row>
                    <xdr:rowOff>19050</xdr:rowOff>
                  </to>
                </anchor>
              </controlPr>
            </control>
          </mc:Choice>
        </mc:AlternateContent>
        <mc:AlternateContent xmlns:mc="http://schemas.openxmlformats.org/markup-compatibility/2006">
          <mc:Choice Requires="x14">
            <control shapeId="1029" r:id="rId8" name="Button 5">
              <controlPr defaultSize="0" print="0" autoFill="0" autoPict="0" macro="[0]!Button5_Click">
                <anchor moveWithCells="1" sizeWithCells="1">
                  <from>
                    <xdr:col>2</xdr:col>
                    <xdr:colOff>361950</xdr:colOff>
                    <xdr:row>3</xdr:row>
                    <xdr:rowOff>0</xdr:rowOff>
                  </from>
                  <to>
                    <xdr:col>3</xdr:col>
                    <xdr:colOff>438150</xdr:colOff>
                    <xdr:row>6</xdr:row>
                    <xdr:rowOff>6350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520A2-4E4A-4EBF-A4AA-0D6983F0DE23}">
  <sheetPr codeName="Sheet2">
    <tabColor theme="7" tint="0.79998168889431442"/>
  </sheetPr>
  <dimension ref="A1:H26"/>
  <sheetViews>
    <sheetView topLeftCell="A15" workbookViewId="0">
      <selection activeCell="F1" sqref="F1:H2"/>
    </sheetView>
  </sheetViews>
  <sheetFormatPr defaultRowHeight="14.5" x14ac:dyDescent="0.35"/>
  <cols>
    <col min="1" max="1" width="9.90625" bestFit="1" customWidth="1"/>
    <col min="2" max="2" width="18.453125" bestFit="1" customWidth="1"/>
    <col min="3" max="3" width="10.26953125" bestFit="1" customWidth="1"/>
    <col min="5" max="5" width="9.36328125" bestFit="1" customWidth="1"/>
  </cols>
  <sheetData>
    <row r="1" spans="1:8" x14ac:dyDescent="0.35">
      <c r="F1" s="206" t="s">
        <v>117</v>
      </c>
      <c r="G1" s="207"/>
      <c r="H1" s="208"/>
    </row>
    <row r="2" spans="1:8" ht="15" thickBot="1" x14ac:dyDescent="0.4">
      <c r="F2" s="209"/>
      <c r="G2" s="210"/>
      <c r="H2" s="211"/>
    </row>
    <row r="3" spans="1:8" x14ac:dyDescent="0.35">
      <c r="B3" s="20" t="s">
        <v>1</v>
      </c>
      <c r="C3" s="23">
        <v>2000</v>
      </c>
    </row>
    <row r="4" spans="1:8" x14ac:dyDescent="0.35">
      <c r="B4" s="21" t="s">
        <v>2</v>
      </c>
      <c r="C4" s="24">
        <v>0.05</v>
      </c>
    </row>
    <row r="5" spans="1:8" x14ac:dyDescent="0.35">
      <c r="B5" s="21" t="s">
        <v>3</v>
      </c>
      <c r="C5" s="24">
        <v>5.1999999999999998E-2</v>
      </c>
    </row>
    <row r="6" spans="1:8" x14ac:dyDescent="0.35">
      <c r="B6" s="21" t="s">
        <v>4</v>
      </c>
      <c r="C6" s="24">
        <v>2</v>
      </c>
    </row>
    <row r="7" spans="1:8" x14ac:dyDescent="0.35">
      <c r="B7" s="21" t="s">
        <v>5</v>
      </c>
      <c r="C7" s="25">
        <f>C4*C3</f>
        <v>100</v>
      </c>
    </row>
    <row r="8" spans="1:8" x14ac:dyDescent="0.35">
      <c r="B8" s="21" t="s">
        <v>16</v>
      </c>
      <c r="C8" s="24">
        <v>5</v>
      </c>
    </row>
    <row r="9" spans="1:8" x14ac:dyDescent="0.35">
      <c r="B9" s="21" t="s">
        <v>11</v>
      </c>
      <c r="C9" s="24">
        <f>(1-(1+C5)^(-C6))/(C5)</f>
        <v>1.8541543176856716</v>
      </c>
    </row>
    <row r="10" spans="1:8" x14ac:dyDescent="0.35">
      <c r="B10" s="21" t="s">
        <v>12</v>
      </c>
      <c r="C10" s="24">
        <f>C7*C9</f>
        <v>185.41543176856717</v>
      </c>
    </row>
    <row r="11" spans="1:8" x14ac:dyDescent="0.35">
      <c r="B11" s="21"/>
      <c r="C11" s="24"/>
    </row>
    <row r="12" spans="1:8" ht="15" thickBot="1" x14ac:dyDescent="0.4">
      <c r="B12" s="21" t="s">
        <v>13</v>
      </c>
      <c r="C12" s="25">
        <f>C3/(1+C5)^C6</f>
        <v>1807.1679509606902</v>
      </c>
    </row>
    <row r="13" spans="1:8" ht="15" thickBot="1" x14ac:dyDescent="0.4">
      <c r="B13" s="21" t="s">
        <v>14</v>
      </c>
      <c r="C13" s="27">
        <f>C10+C12</f>
        <v>1992.5833827292574</v>
      </c>
    </row>
    <row r="14" spans="1:8" ht="15" thickBot="1" x14ac:dyDescent="0.4">
      <c r="B14" s="22" t="s">
        <v>15</v>
      </c>
      <c r="C14" s="26">
        <f>PVBm(C4,C5,C6,C3,C8)</f>
        <v>1992.4391890015718</v>
      </c>
    </row>
    <row r="15" spans="1:8" ht="15" thickBot="1" x14ac:dyDescent="0.4"/>
    <row r="16" spans="1:8" x14ac:dyDescent="0.35">
      <c r="A16" s="20"/>
      <c r="B16" s="30">
        <v>0</v>
      </c>
      <c r="C16" s="31">
        <v>1</v>
      </c>
      <c r="D16" s="31">
        <v>2</v>
      </c>
      <c r="E16" s="32">
        <v>3</v>
      </c>
    </row>
    <row r="17" spans="1:5" x14ac:dyDescent="0.35">
      <c r="A17" s="21" t="s">
        <v>5</v>
      </c>
      <c r="B17" s="28"/>
      <c r="C17" s="28">
        <f>$C$4*$C$3</f>
        <v>100</v>
      </c>
      <c r="D17" s="28">
        <f t="shared" ref="D17:E17" si="0">$C$4*$C$3</f>
        <v>100</v>
      </c>
      <c r="E17" s="24">
        <f t="shared" si="0"/>
        <v>100</v>
      </c>
    </row>
    <row r="18" spans="1:5" x14ac:dyDescent="0.35">
      <c r="A18" s="21" t="s">
        <v>6</v>
      </c>
      <c r="B18" s="28"/>
      <c r="C18" s="28"/>
      <c r="D18" s="28"/>
      <c r="E18" s="24">
        <f>C3</f>
        <v>2000</v>
      </c>
    </row>
    <row r="19" spans="1:5" x14ac:dyDescent="0.35">
      <c r="A19" s="21" t="s">
        <v>7</v>
      </c>
      <c r="B19" s="28"/>
      <c r="C19" s="28">
        <f>SUM(C17:C18)</f>
        <v>100</v>
      </c>
      <c r="D19" s="28">
        <f t="shared" ref="D19:E19" si="1">SUM(D17:D18)</f>
        <v>100</v>
      </c>
      <c r="E19" s="24">
        <f t="shared" si="1"/>
        <v>2100</v>
      </c>
    </row>
    <row r="20" spans="1:5" x14ac:dyDescent="0.35">
      <c r="A20" s="21"/>
      <c r="B20" s="28"/>
      <c r="C20" s="28"/>
      <c r="D20" s="28"/>
      <c r="E20" s="24"/>
    </row>
    <row r="21" spans="1:5" x14ac:dyDescent="0.35">
      <c r="A21" s="21" t="s">
        <v>8</v>
      </c>
      <c r="B21" s="28"/>
      <c r="C21" s="28">
        <f>1/(1+$C$5)^C16</f>
        <v>0.9505703422053231</v>
      </c>
      <c r="D21" s="28">
        <f>1/(1+$C$5)^D16</f>
        <v>0.90358397548034508</v>
      </c>
      <c r="E21" s="29">
        <f>1/(1+$C$5)^E16</f>
        <v>0.85892012878359802</v>
      </c>
    </row>
    <row r="22" spans="1:5" ht="15" thickBot="1" x14ac:dyDescent="0.4">
      <c r="A22" s="21" t="s">
        <v>9</v>
      </c>
      <c r="B22" s="28"/>
      <c r="C22" s="28">
        <f>C19*C21</f>
        <v>95.057034220532316</v>
      </c>
      <c r="D22" s="28">
        <f t="shared" ref="D22" si="2">D19*D21</f>
        <v>90.358397548034503</v>
      </c>
      <c r="E22" s="24">
        <f>E19*E21</f>
        <v>1803.7322704455557</v>
      </c>
    </row>
    <row r="23" spans="1:5" ht="15" thickBot="1" x14ac:dyDescent="0.4">
      <c r="A23" s="22" t="s">
        <v>10</v>
      </c>
      <c r="B23" s="19">
        <f>SUM(C22:E22)</f>
        <v>1989.1477022141225</v>
      </c>
      <c r="C23" s="33"/>
      <c r="D23" s="33"/>
      <c r="E23" s="34"/>
    </row>
    <row r="26" spans="1:5" x14ac:dyDescent="0.35">
      <c r="B26" t="s">
        <v>17</v>
      </c>
      <c r="C26" s="1" t="s">
        <v>18</v>
      </c>
    </row>
  </sheetData>
  <mergeCells count="1">
    <mergeCell ref="F1:H2"/>
  </mergeCells>
  <hyperlinks>
    <hyperlink ref="C26" r:id="rId1" xr:uid="{EC0817E5-082E-43F0-8883-408C92870A7D}"/>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B0424-F848-49AC-87D7-CCA78E96D004}">
  <sheetPr codeName="Sheet3">
    <tabColor theme="7" tint="0.79998168889431442"/>
  </sheetPr>
  <dimension ref="B1:G21"/>
  <sheetViews>
    <sheetView workbookViewId="0">
      <selection activeCell="E2" sqref="E2:G3"/>
    </sheetView>
  </sheetViews>
  <sheetFormatPr defaultRowHeight="14.5" x14ac:dyDescent="0.35"/>
  <cols>
    <col min="2" max="2" width="13.81640625" bestFit="1" customWidth="1"/>
    <col min="3" max="3" width="10.1796875" bestFit="1" customWidth="1"/>
  </cols>
  <sheetData>
    <row r="1" spans="2:7" ht="15" thickBot="1" x14ac:dyDescent="0.4"/>
    <row r="2" spans="2:7" x14ac:dyDescent="0.35">
      <c r="E2" s="206" t="s">
        <v>118</v>
      </c>
      <c r="F2" s="207"/>
      <c r="G2" s="208"/>
    </row>
    <row r="3" spans="2:7" ht="15" thickBot="1" x14ac:dyDescent="0.4">
      <c r="E3" s="209"/>
      <c r="F3" s="210"/>
      <c r="G3" s="211"/>
    </row>
    <row r="5" spans="2:7" ht="15" thickBot="1" x14ac:dyDescent="0.4"/>
    <row r="6" spans="2:7" x14ac:dyDescent="0.35">
      <c r="B6" s="42" t="s">
        <v>1</v>
      </c>
      <c r="C6" s="39">
        <v>2000</v>
      </c>
      <c r="F6" s="36"/>
      <c r="G6" s="39">
        <f>PVBm(C7,C8,C9,C6,C10)</f>
        <v>1992.4391890015718</v>
      </c>
    </row>
    <row r="7" spans="2:7" x14ac:dyDescent="0.35">
      <c r="B7" s="43" t="s">
        <v>2</v>
      </c>
      <c r="C7" s="40">
        <v>0.05</v>
      </c>
      <c r="F7" s="37">
        <v>0.01</v>
      </c>
      <c r="G7" s="40">
        <f t="dataTable" ref="G7:G21" dt2D="0" dtr="0" r1="C8"/>
        <v>2158.2539889899613</v>
      </c>
    </row>
    <row r="8" spans="2:7" x14ac:dyDescent="0.35">
      <c r="B8" s="44" t="s">
        <v>3</v>
      </c>
      <c r="C8" s="41">
        <v>5.1999999999999998E-2</v>
      </c>
      <c r="F8" s="37">
        <v>0.02</v>
      </c>
      <c r="G8" s="40">
        <v>2117.4016969692002</v>
      </c>
    </row>
    <row r="9" spans="2:7" x14ac:dyDescent="0.35">
      <c r="B9" s="43" t="s">
        <v>4</v>
      </c>
      <c r="C9" s="40">
        <v>2</v>
      </c>
      <c r="F9" s="37">
        <v>0.03</v>
      </c>
      <c r="G9" s="40">
        <v>2077.4221449296015</v>
      </c>
    </row>
    <row r="10" spans="2:7" x14ac:dyDescent="0.35">
      <c r="B10" s="43" t="s">
        <v>16</v>
      </c>
      <c r="C10" s="40">
        <v>5</v>
      </c>
      <c r="F10" s="37">
        <v>0.04</v>
      </c>
      <c r="G10" s="40">
        <v>2038.2948878365476</v>
      </c>
    </row>
    <row r="11" spans="2:7" ht="15" thickBot="1" x14ac:dyDescent="0.4">
      <c r="B11" s="43"/>
      <c r="C11" s="40"/>
      <c r="F11" s="37">
        <v>0.05</v>
      </c>
      <c r="G11" s="40">
        <v>2000</v>
      </c>
    </row>
    <row r="12" spans="2:7" ht="15" thickBot="1" x14ac:dyDescent="0.4">
      <c r="B12" s="46" t="s">
        <v>15</v>
      </c>
      <c r="C12" s="45">
        <f>PVBm(C7,C8,C9,C6,C10)</f>
        <v>1992.4391890015718</v>
      </c>
      <c r="F12" s="37">
        <v>0.06</v>
      </c>
      <c r="G12" s="40">
        <v>1962.5180608744927</v>
      </c>
    </row>
    <row r="13" spans="2:7" x14ac:dyDescent="0.35">
      <c r="F13" s="37">
        <v>7.0000000000000007E-2</v>
      </c>
      <c r="G13" s="40">
        <v>1925.8301412746555</v>
      </c>
    </row>
    <row r="14" spans="2:7" x14ac:dyDescent="0.35">
      <c r="F14" s="37">
        <v>0.08</v>
      </c>
      <c r="G14" s="40">
        <v>1889.9177899933104</v>
      </c>
    </row>
    <row r="15" spans="2:7" x14ac:dyDescent="0.35">
      <c r="F15" s="37">
        <v>0.09</v>
      </c>
      <c r="G15" s="40">
        <v>1854.7630208096164</v>
      </c>
    </row>
    <row r="16" spans="2:7" x14ac:dyDescent="0.35">
      <c r="F16" s="37">
        <v>0.1</v>
      </c>
      <c r="G16" s="40">
        <v>1820.3482998751551</v>
      </c>
    </row>
    <row r="17" spans="6:7" x14ac:dyDescent="0.35">
      <c r="F17" s="37">
        <v>0.11</v>
      </c>
      <c r="G17" s="40">
        <v>1786.6565334662494</v>
      </c>
    </row>
    <row r="18" spans="6:7" x14ac:dyDescent="0.35">
      <c r="F18" s="37">
        <v>0.12</v>
      </c>
      <c r="G18" s="40">
        <v>1753.6710560911804</v>
      </c>
    </row>
    <row r="19" spans="6:7" x14ac:dyDescent="0.35">
      <c r="F19" s="37">
        <v>0.13</v>
      </c>
      <c r="G19" s="40">
        <v>1721.3756189413575</v>
      </c>
    </row>
    <row r="20" spans="6:7" x14ac:dyDescent="0.35">
      <c r="F20" s="37">
        <v>0.14000000000000001</v>
      </c>
      <c r="G20" s="40">
        <v>1689.7543786758406</v>
      </c>
    </row>
    <row r="21" spans="6:7" ht="15" thickBot="1" x14ac:dyDescent="0.4">
      <c r="F21" s="38">
        <v>0.15</v>
      </c>
      <c r="G21" s="47">
        <v>1658.7918865289666</v>
      </c>
    </row>
  </sheetData>
  <mergeCells count="1">
    <mergeCell ref="E2:G3"/>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A7D0A-A6C6-4C4E-AD37-06FD82CEF149}">
  <sheetPr codeName="Sheet4">
    <tabColor theme="7" tint="0.79998168889431442"/>
  </sheetPr>
  <dimension ref="B1:H21"/>
  <sheetViews>
    <sheetView workbookViewId="0">
      <selection activeCell="E2" sqref="E2:G3"/>
    </sheetView>
  </sheetViews>
  <sheetFormatPr defaultRowHeight="14.5" x14ac:dyDescent="0.35"/>
  <cols>
    <col min="2" max="2" width="13.81640625" bestFit="1" customWidth="1"/>
    <col min="3" max="3" width="10.1796875" bestFit="1" customWidth="1"/>
  </cols>
  <sheetData>
    <row r="1" spans="2:8" ht="15" thickBot="1" x14ac:dyDescent="0.4"/>
    <row r="2" spans="2:8" x14ac:dyDescent="0.35">
      <c r="E2" s="206" t="s">
        <v>119</v>
      </c>
      <c r="F2" s="207"/>
      <c r="G2" s="208"/>
    </row>
    <row r="3" spans="2:8" ht="15" thickBot="1" x14ac:dyDescent="0.4">
      <c r="E3" s="209"/>
      <c r="F3" s="210"/>
      <c r="G3" s="211"/>
    </row>
    <row r="5" spans="2:8" ht="15" thickBot="1" x14ac:dyDescent="0.4"/>
    <row r="6" spans="2:8" x14ac:dyDescent="0.35">
      <c r="B6" s="42" t="s">
        <v>1</v>
      </c>
      <c r="C6" s="39">
        <v>2000</v>
      </c>
      <c r="G6" s="36"/>
      <c r="H6" s="39">
        <f>C12</f>
        <v>1992.4391890015718</v>
      </c>
    </row>
    <row r="7" spans="2:8" x14ac:dyDescent="0.35">
      <c r="B7" s="44" t="s">
        <v>2</v>
      </c>
      <c r="C7" s="41">
        <v>0.05</v>
      </c>
      <c r="G7" s="37">
        <v>0.01</v>
      </c>
      <c r="H7" s="40">
        <f t="dataTable" ref="H7:H21" dt2D="0" dtr="0" r1="C7"/>
        <v>1841.2229690330048</v>
      </c>
    </row>
    <row r="8" spans="2:8" x14ac:dyDescent="0.35">
      <c r="B8" s="43" t="s">
        <v>3</v>
      </c>
      <c r="C8" s="40">
        <v>5.1999999999999998E-2</v>
      </c>
      <c r="G8" s="37">
        <v>0.02</v>
      </c>
      <c r="H8" s="40">
        <v>1879.0270240251464</v>
      </c>
    </row>
    <row r="9" spans="2:8" x14ac:dyDescent="0.35">
      <c r="B9" s="43" t="s">
        <v>4</v>
      </c>
      <c r="C9" s="40">
        <v>2</v>
      </c>
      <c r="G9" s="37">
        <v>0.03</v>
      </c>
      <c r="H9" s="40">
        <v>1916.8310790172882</v>
      </c>
    </row>
    <row r="10" spans="2:8" x14ac:dyDescent="0.35">
      <c r="B10" s="43" t="s">
        <v>16</v>
      </c>
      <c r="C10" s="40">
        <v>5</v>
      </c>
      <c r="G10" s="37">
        <v>0.04</v>
      </c>
      <c r="H10" s="40">
        <v>1954.63513400943</v>
      </c>
    </row>
    <row r="11" spans="2:8" ht="15" thickBot="1" x14ac:dyDescent="0.4">
      <c r="B11" s="43"/>
      <c r="C11" s="40"/>
      <c r="G11" s="37">
        <v>0.05</v>
      </c>
      <c r="H11" s="40">
        <v>1992.4391890015718</v>
      </c>
    </row>
    <row r="12" spans="2:8" ht="15" thickBot="1" x14ac:dyDescent="0.4">
      <c r="B12" s="46" t="s">
        <v>15</v>
      </c>
      <c r="C12" s="45">
        <f>PVBm(C7,C8,C9,C6,C10)</f>
        <v>1992.4391890015718</v>
      </c>
      <c r="G12" s="37">
        <v>0.06</v>
      </c>
      <c r="H12" s="40">
        <v>2030.2432439937133</v>
      </c>
    </row>
    <row r="13" spans="2:8" x14ac:dyDescent="0.35">
      <c r="G13" s="37">
        <v>7.0000000000000007E-2</v>
      </c>
      <c r="H13" s="40">
        <v>2068.0472989858554</v>
      </c>
    </row>
    <row r="14" spans="2:8" x14ac:dyDescent="0.35">
      <c r="G14" s="37">
        <v>0.08</v>
      </c>
      <c r="H14" s="40">
        <v>2105.851353977997</v>
      </c>
    </row>
    <row r="15" spans="2:8" x14ac:dyDescent="0.35">
      <c r="G15" s="37">
        <v>0.09</v>
      </c>
      <c r="H15" s="40">
        <v>2143.6554089701385</v>
      </c>
    </row>
    <row r="16" spans="2:8" x14ac:dyDescent="0.35">
      <c r="G16" s="37">
        <v>0.1</v>
      </c>
      <c r="H16" s="40">
        <v>2181.4594639622806</v>
      </c>
    </row>
    <row r="17" spans="7:8" x14ac:dyDescent="0.35">
      <c r="G17" s="37">
        <v>0.11</v>
      </c>
      <c r="H17" s="40">
        <v>2219.2635189544221</v>
      </c>
    </row>
    <row r="18" spans="7:8" x14ac:dyDescent="0.35">
      <c r="G18" s="37">
        <v>0.12</v>
      </c>
      <c r="H18" s="40">
        <v>2257.0675739465637</v>
      </c>
    </row>
    <row r="19" spans="7:8" x14ac:dyDescent="0.35">
      <c r="G19" s="37">
        <v>0.13</v>
      </c>
      <c r="H19" s="40">
        <v>2294.8716289387057</v>
      </c>
    </row>
    <row r="20" spans="7:8" x14ac:dyDescent="0.35">
      <c r="G20" s="37">
        <v>0.14000000000000001</v>
      </c>
      <c r="H20" s="40">
        <v>2332.6756839308473</v>
      </c>
    </row>
    <row r="21" spans="7:8" ht="15" thickBot="1" x14ac:dyDescent="0.4">
      <c r="G21" s="38">
        <v>0.15</v>
      </c>
      <c r="H21" s="47">
        <v>2370.4797389229889</v>
      </c>
    </row>
  </sheetData>
  <mergeCells count="1">
    <mergeCell ref="E2:G3"/>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22B6D-3F5D-49E7-B6EE-6616D1D4D897}">
  <sheetPr codeName="Sheet5">
    <tabColor theme="7" tint="0.79998168889431442"/>
  </sheetPr>
  <dimension ref="B1:G21"/>
  <sheetViews>
    <sheetView workbookViewId="0">
      <selection activeCell="E2" sqref="E2:G3"/>
    </sheetView>
  </sheetViews>
  <sheetFormatPr defaultRowHeight="14.5" x14ac:dyDescent="0.35"/>
  <cols>
    <col min="2" max="2" width="13.81640625" bestFit="1" customWidth="1"/>
    <col min="3" max="3" width="10.26953125" bestFit="1" customWidth="1"/>
    <col min="7" max="7" width="10.1796875" bestFit="1" customWidth="1"/>
  </cols>
  <sheetData>
    <row r="1" spans="2:7" ht="15" thickBot="1" x14ac:dyDescent="0.4"/>
    <row r="2" spans="2:7" x14ac:dyDescent="0.35">
      <c r="E2" s="206" t="s">
        <v>120</v>
      </c>
      <c r="F2" s="207"/>
      <c r="G2" s="208"/>
    </row>
    <row r="3" spans="2:7" ht="15" thickBot="1" x14ac:dyDescent="0.4">
      <c r="E3" s="209"/>
      <c r="F3" s="210"/>
      <c r="G3" s="211"/>
    </row>
    <row r="5" spans="2:7" ht="15" thickBot="1" x14ac:dyDescent="0.4"/>
    <row r="6" spans="2:7" x14ac:dyDescent="0.35">
      <c r="B6" s="42" t="s">
        <v>1</v>
      </c>
      <c r="C6" s="39">
        <v>2000</v>
      </c>
      <c r="F6" s="36"/>
      <c r="G6" s="39">
        <f>C12</f>
        <v>1992.4391890015718</v>
      </c>
    </row>
    <row r="7" spans="2:7" x14ac:dyDescent="0.35">
      <c r="B7" s="43" t="s">
        <v>2</v>
      </c>
      <c r="C7" s="40">
        <v>0.05</v>
      </c>
      <c r="F7" s="37">
        <v>1</v>
      </c>
      <c r="G7" s="40">
        <f t="dataTable" ref="G7:G21" dt2D="0" dtr="0" r1="C10"/>
        <v>1992.5833827292574</v>
      </c>
    </row>
    <row r="8" spans="2:7" x14ac:dyDescent="0.35">
      <c r="B8" s="43" t="s">
        <v>3</v>
      </c>
      <c r="C8" s="40">
        <v>5.1999999999999998E-2</v>
      </c>
      <c r="F8" s="37">
        <v>2</v>
      </c>
      <c r="G8" s="40">
        <v>1992.4941410631809</v>
      </c>
    </row>
    <row r="9" spans="2:7" x14ac:dyDescent="0.35">
      <c r="B9" s="43" t="s">
        <v>4</v>
      </c>
      <c r="C9" s="40">
        <v>2</v>
      </c>
      <c r="F9" s="37">
        <v>3</v>
      </c>
      <c r="G9" s="40">
        <v>1992.4637456486598</v>
      </c>
    </row>
    <row r="10" spans="2:7" x14ac:dyDescent="0.35">
      <c r="B10" s="44" t="s">
        <v>16</v>
      </c>
      <c r="C10" s="41">
        <v>5</v>
      </c>
      <c r="F10" s="37">
        <v>4</v>
      </c>
      <c r="G10" s="40">
        <v>1992.4484230106557</v>
      </c>
    </row>
    <row r="11" spans="2:7" ht="15" thickBot="1" x14ac:dyDescent="0.4">
      <c r="B11" s="43"/>
      <c r="C11" s="40"/>
      <c r="F11" s="37">
        <v>5</v>
      </c>
      <c r="G11" s="40">
        <v>1992.4391890015718</v>
      </c>
    </row>
    <row r="12" spans="2:7" ht="15" thickBot="1" x14ac:dyDescent="0.4">
      <c r="B12" s="46" t="s">
        <v>15</v>
      </c>
      <c r="C12" s="45">
        <f>PVBm(C7,C8,C9,C6,C10)</f>
        <v>1992.4391890015718</v>
      </c>
      <c r="F12" s="37">
        <v>6</v>
      </c>
      <c r="G12" s="40">
        <v>1992.4330160460347</v>
      </c>
    </row>
    <row r="13" spans="2:7" x14ac:dyDescent="0.35">
      <c r="F13" s="37">
        <v>7</v>
      </c>
      <c r="G13" s="40">
        <v>1992.428598456916</v>
      </c>
    </row>
    <row r="14" spans="2:7" x14ac:dyDescent="0.35">
      <c r="F14" s="37">
        <v>8</v>
      </c>
      <c r="G14" s="40">
        <v>1992.4252806939426</v>
      </c>
    </row>
    <row r="15" spans="2:7" x14ac:dyDescent="0.35">
      <c r="F15" s="37">
        <v>9</v>
      </c>
      <c r="G15" s="40">
        <v>1992.4226974971525</v>
      </c>
    </row>
    <row r="16" spans="2:7" x14ac:dyDescent="0.35">
      <c r="F16" s="37">
        <v>10</v>
      </c>
      <c r="G16" s="40">
        <v>1992.4206292268432</v>
      </c>
    </row>
    <row r="17" spans="6:7" x14ac:dyDescent="0.35">
      <c r="F17" s="37">
        <v>11</v>
      </c>
      <c r="G17" s="40">
        <v>1992.4189358717474</v>
      </c>
    </row>
    <row r="18" spans="6:7" x14ac:dyDescent="0.35">
      <c r="F18" s="37">
        <v>12</v>
      </c>
      <c r="G18" s="40">
        <v>1992.4175239621059</v>
      </c>
    </row>
    <row r="19" spans="6:7" x14ac:dyDescent="0.35">
      <c r="F19" s="37">
        <v>13</v>
      </c>
      <c r="G19" s="40">
        <v>1992.4163287147242</v>
      </c>
    </row>
    <row r="20" spans="6:7" x14ac:dyDescent="0.35">
      <c r="F20" s="37">
        <v>14</v>
      </c>
      <c r="G20" s="40">
        <v>1992.4153038120337</v>
      </c>
    </row>
    <row r="21" spans="6:7" ht="15" thickBot="1" x14ac:dyDescent="0.4">
      <c r="F21" s="38">
        <v>15</v>
      </c>
      <c r="G21" s="47">
        <v>1992.4144152604949</v>
      </c>
    </row>
  </sheetData>
  <mergeCells count="1">
    <mergeCell ref="E2:G3"/>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B4B60-067C-432B-875F-9F5261309661}">
  <sheetPr codeName="Sheet6">
    <tabColor theme="7" tint="0.79998168889431442"/>
  </sheetPr>
  <dimension ref="B1:W21"/>
  <sheetViews>
    <sheetView tabSelected="1" workbookViewId="0">
      <selection activeCell="E13" sqref="E13"/>
    </sheetView>
  </sheetViews>
  <sheetFormatPr defaultRowHeight="14.5" x14ac:dyDescent="0.35"/>
  <cols>
    <col min="2" max="2" width="13.81640625" bestFit="1" customWidth="1"/>
    <col min="3" max="3" width="10.26953125" bestFit="1" customWidth="1"/>
    <col min="7" max="7" width="10.1796875" bestFit="1" customWidth="1"/>
    <col min="16" max="16" width="10.1796875" bestFit="1" customWidth="1"/>
  </cols>
  <sheetData>
    <row r="1" spans="2:23" ht="15" thickBot="1" x14ac:dyDescent="0.4"/>
    <row r="2" spans="2:23" x14ac:dyDescent="0.35">
      <c r="F2" s="206" t="s">
        <v>121</v>
      </c>
      <c r="G2" s="207"/>
      <c r="H2" s="208"/>
    </row>
    <row r="3" spans="2:23" ht="15" thickBot="1" x14ac:dyDescent="0.4">
      <c r="F3" s="209"/>
      <c r="G3" s="210"/>
      <c r="H3" s="211"/>
    </row>
    <row r="5" spans="2:23" ht="15" thickBot="1" x14ac:dyDescent="0.4"/>
    <row r="6" spans="2:23" x14ac:dyDescent="0.35">
      <c r="B6" s="42" t="s">
        <v>1</v>
      </c>
      <c r="C6" s="39">
        <v>2000</v>
      </c>
      <c r="G6" s="48">
        <f>C12</f>
        <v>1992.4391890015718</v>
      </c>
      <c r="H6" s="51">
        <v>3</v>
      </c>
      <c r="I6" s="51">
        <v>5</v>
      </c>
      <c r="J6" s="51">
        <v>10</v>
      </c>
      <c r="K6" s="51">
        <v>15</v>
      </c>
      <c r="L6" s="51">
        <v>20</v>
      </c>
      <c r="M6" s="51">
        <v>25</v>
      </c>
      <c r="N6" s="52">
        <v>30</v>
      </c>
      <c r="P6" s="48"/>
      <c r="Q6" s="51">
        <v>3</v>
      </c>
      <c r="R6" s="51">
        <v>5</v>
      </c>
      <c r="S6" s="51">
        <v>10</v>
      </c>
      <c r="T6" s="51">
        <v>15</v>
      </c>
      <c r="U6" s="51">
        <v>20</v>
      </c>
      <c r="V6" s="51">
        <v>25</v>
      </c>
      <c r="W6" s="52">
        <v>30</v>
      </c>
    </row>
    <row r="7" spans="2:23" x14ac:dyDescent="0.35">
      <c r="B7" s="43" t="s">
        <v>2</v>
      </c>
      <c r="C7" s="40">
        <v>0.05</v>
      </c>
      <c r="G7" s="49">
        <v>0.01</v>
      </c>
      <c r="H7" s="53">
        <f t="dataTable" ref="H7:N21" dt2D="1" dtr="1" r1="C9" r2="C8"/>
        <v>2236.2031312770414</v>
      </c>
      <c r="I7" s="53">
        <v>2389.7846092999389</v>
      </c>
      <c r="J7" s="53">
        <v>2760.5777133939896</v>
      </c>
      <c r="K7" s="53">
        <v>3113.3046368367382</v>
      </c>
      <c r="L7" s="53">
        <v>3448.8456195240251</v>
      </c>
      <c r="M7" s="53">
        <v>3768.0380133562012</v>
      </c>
      <c r="N7" s="54">
        <v>4071.678371873204</v>
      </c>
      <c r="P7" s="49">
        <v>0.01</v>
      </c>
      <c r="Q7" s="53">
        <v>2236.2031312770414</v>
      </c>
      <c r="R7" s="53">
        <v>2389.7846092999389</v>
      </c>
      <c r="S7" s="53">
        <v>2760.5777133939896</v>
      </c>
      <c r="T7" s="53">
        <v>3113.3046368367382</v>
      </c>
      <c r="U7" s="53">
        <v>3448.8456195240251</v>
      </c>
      <c r="V7" s="53">
        <v>3768.0380133562012</v>
      </c>
      <c r="W7" s="54">
        <v>4071.678371873204</v>
      </c>
    </row>
    <row r="8" spans="2:23" x14ac:dyDescent="0.35">
      <c r="B8" s="43" t="s">
        <v>3</v>
      </c>
      <c r="C8" s="40">
        <v>5.1999999999999998E-2</v>
      </c>
      <c r="G8" s="49">
        <v>0.02</v>
      </c>
      <c r="H8" s="53">
        <v>2174.3682451705863</v>
      </c>
      <c r="I8" s="53">
        <v>2284.9462328462641</v>
      </c>
      <c r="J8" s="53">
        <v>2542.8276804881016</v>
      </c>
      <c r="K8" s="53">
        <v>2776.215012454446</v>
      </c>
      <c r="L8" s="53">
        <v>2987.4347307415064</v>
      </c>
      <c r="M8" s="53">
        <v>3178.5923613523173</v>
      </c>
      <c r="N8" s="54">
        <v>3351.5934430556731</v>
      </c>
      <c r="P8" s="49">
        <v>0.02</v>
      </c>
      <c r="Q8" s="53">
        <v>2174.3682451705863</v>
      </c>
      <c r="R8" s="53">
        <v>2284.9462328462641</v>
      </c>
      <c r="S8" s="53">
        <v>2542.8276804881016</v>
      </c>
      <c r="T8" s="53">
        <v>2776.215012454446</v>
      </c>
      <c r="U8" s="53">
        <v>2987.4347307415064</v>
      </c>
      <c r="V8" s="53">
        <v>3178.5923613523173</v>
      </c>
      <c r="W8" s="54">
        <v>3351.5934430556731</v>
      </c>
    </row>
    <row r="9" spans="2:23" x14ac:dyDescent="0.35">
      <c r="B9" s="43" t="s">
        <v>4</v>
      </c>
      <c r="C9" s="40">
        <v>2</v>
      </c>
      <c r="G9" s="49">
        <v>0.03</v>
      </c>
      <c r="H9" s="53">
        <v>2114.4306705106183</v>
      </c>
      <c r="I9" s="53">
        <v>2185.208214472721</v>
      </c>
      <c r="J9" s="53">
        <v>2344.6898669143116</v>
      </c>
      <c r="K9" s="53">
        <v>2482.0185352885028</v>
      </c>
      <c r="L9" s="53">
        <v>2600.2714055635688</v>
      </c>
      <c r="M9" s="53">
        <v>2702.0982236186956</v>
      </c>
      <c r="N9" s="54">
        <v>2789.7806693057505</v>
      </c>
      <c r="P9" s="49">
        <v>0.03</v>
      </c>
      <c r="Q9" s="53">
        <v>2114.4306705106183</v>
      </c>
      <c r="R9" s="53">
        <v>2185.208214472721</v>
      </c>
      <c r="S9" s="53">
        <v>2344.6898669143116</v>
      </c>
      <c r="T9" s="53">
        <v>2482.0185352885028</v>
      </c>
      <c r="U9" s="53">
        <v>2600.2714055635688</v>
      </c>
      <c r="V9" s="53">
        <v>2702.0982236186956</v>
      </c>
      <c r="W9" s="54">
        <v>2789.7806693057505</v>
      </c>
    </row>
    <row r="10" spans="2:23" x14ac:dyDescent="0.35">
      <c r="B10" s="43" t="s">
        <v>16</v>
      </c>
      <c r="C10" s="40">
        <v>5</v>
      </c>
      <c r="G10" s="49">
        <v>0.04</v>
      </c>
      <c r="H10" s="53">
        <v>2056.3279986721009</v>
      </c>
      <c r="I10" s="53">
        <v>2090.3087377262382</v>
      </c>
      <c r="J10" s="53">
        <v>2164.3061392330633</v>
      </c>
      <c r="K10" s="53">
        <v>2224.9383168896825</v>
      </c>
      <c r="L10" s="53">
        <v>2274.6192636867772</v>
      </c>
      <c r="M10" s="53">
        <v>2315.3269632952915</v>
      </c>
      <c r="N10" s="54">
        <v>2348.6821409690383</v>
      </c>
      <c r="P10" s="49">
        <v>0.04</v>
      </c>
      <c r="Q10" s="53">
        <v>2056.3279986721009</v>
      </c>
      <c r="R10" s="53">
        <v>2090.3087377262382</v>
      </c>
      <c r="S10" s="53">
        <v>2164.3061392330633</v>
      </c>
      <c r="T10" s="53">
        <v>2224.9383168896825</v>
      </c>
      <c r="U10" s="53">
        <v>2274.6192636867772</v>
      </c>
      <c r="V10" s="53">
        <v>2315.3269632952915</v>
      </c>
      <c r="W10" s="54">
        <v>2348.6821409690383</v>
      </c>
    </row>
    <row r="11" spans="2:23" ht="15" thickBot="1" x14ac:dyDescent="0.4">
      <c r="B11" s="43"/>
      <c r="C11" s="40"/>
      <c r="G11" s="49">
        <v>0.05</v>
      </c>
      <c r="H11" s="53">
        <v>2000</v>
      </c>
      <c r="I11" s="53">
        <v>2000</v>
      </c>
      <c r="J11" s="53">
        <v>2000</v>
      </c>
      <c r="K11" s="53">
        <v>1999.9999999999998</v>
      </c>
      <c r="L11" s="53">
        <v>2000</v>
      </c>
      <c r="M11" s="53">
        <v>2000</v>
      </c>
      <c r="N11" s="54">
        <v>2000</v>
      </c>
      <c r="P11" s="49">
        <v>0.05</v>
      </c>
      <c r="Q11" s="53">
        <v>2000</v>
      </c>
      <c r="R11" s="53">
        <v>2000</v>
      </c>
      <c r="S11" s="53">
        <v>2000</v>
      </c>
      <c r="T11" s="53">
        <v>1999.9999999999998</v>
      </c>
      <c r="U11" s="53">
        <v>2000</v>
      </c>
      <c r="V11" s="53">
        <v>2000</v>
      </c>
      <c r="W11" s="54">
        <v>2000</v>
      </c>
    </row>
    <row r="12" spans="2:23" ht="15" thickBot="1" x14ac:dyDescent="0.4">
      <c r="B12" s="46" t="s">
        <v>15</v>
      </c>
      <c r="C12" s="45">
        <f>PVBm(C7,C8,C9,C6,C10)</f>
        <v>1992.4391890015718</v>
      </c>
      <c r="G12" s="49">
        <v>0.06</v>
      </c>
      <c r="H12" s="53">
        <v>1945.3885434817059</v>
      </c>
      <c r="I12" s="53">
        <v>1914.0474342225207</v>
      </c>
      <c r="J12" s="53">
        <v>1850.2583991362367</v>
      </c>
      <c r="K12" s="53">
        <v>1802.9178577523605</v>
      </c>
      <c r="L12" s="53">
        <v>1767.7844393602013</v>
      </c>
      <c r="M12" s="53">
        <v>1741.7104433340614</v>
      </c>
      <c r="N12" s="54">
        <v>1722.359827883477</v>
      </c>
      <c r="P12" s="49">
        <v>0.06</v>
      </c>
      <c r="Q12" s="53">
        <v>1945.3885434817059</v>
      </c>
      <c r="R12" s="53">
        <v>1914.0474342225207</v>
      </c>
      <c r="S12" s="53">
        <v>1850.2583991362367</v>
      </c>
      <c r="T12" s="53">
        <v>1802.9178577523605</v>
      </c>
      <c r="U12" s="53">
        <v>1767.7844393602013</v>
      </c>
      <c r="V12" s="53">
        <v>1741.7104433340614</v>
      </c>
      <c r="W12" s="54">
        <v>1722.359827883477</v>
      </c>
    </row>
    <row r="13" spans="2:23" x14ac:dyDescent="0.35">
      <c r="G13" s="49">
        <v>7.0000000000000007E-2</v>
      </c>
      <c r="H13" s="53">
        <v>1892.4375195345369</v>
      </c>
      <c r="I13" s="53">
        <v>1832.2289752746667</v>
      </c>
      <c r="J13" s="53">
        <v>1713.7154048397629</v>
      </c>
      <c r="K13" s="53">
        <v>1629.9973349273723</v>
      </c>
      <c r="L13" s="53">
        <v>1570.8588311751325</v>
      </c>
      <c r="M13" s="53">
        <v>1529.0833503295557</v>
      </c>
      <c r="N13" s="54">
        <v>1499.573121136227</v>
      </c>
      <c r="P13" s="49">
        <v>7.0000000000000007E-2</v>
      </c>
      <c r="Q13" s="53">
        <v>1892.4375195345369</v>
      </c>
      <c r="R13" s="53">
        <v>1832.2289752746667</v>
      </c>
      <c r="S13" s="53">
        <v>1713.7154048397629</v>
      </c>
      <c r="T13" s="53">
        <v>1629.9973349273723</v>
      </c>
      <c r="U13" s="53">
        <v>1570.8588311751325</v>
      </c>
      <c r="V13" s="53">
        <v>1529.0833503295557</v>
      </c>
      <c r="W13" s="54">
        <v>1499.573121136227</v>
      </c>
    </row>
    <row r="14" spans="2:23" x14ac:dyDescent="0.35">
      <c r="G14" s="49">
        <v>0.08</v>
      </c>
      <c r="H14" s="53">
        <v>1841.092765781611</v>
      </c>
      <c r="I14" s="53">
        <v>1754.3343684800025</v>
      </c>
      <c r="J14" s="53">
        <v>1589.1375403068307</v>
      </c>
      <c r="K14" s="53">
        <v>1478.0516229580094</v>
      </c>
      <c r="L14" s="53">
        <v>1403.3523616604898</v>
      </c>
      <c r="M14" s="53">
        <v>1353.12115529728</v>
      </c>
      <c r="N14" s="54">
        <v>1319.3433903117093</v>
      </c>
      <c r="P14" s="49">
        <v>0.08</v>
      </c>
      <c r="Q14" s="53">
        <v>1841.092765781611</v>
      </c>
      <c r="R14" s="53">
        <v>1754.3343684800025</v>
      </c>
      <c r="S14" s="53">
        <v>1589.1375403068307</v>
      </c>
      <c r="T14" s="53">
        <v>1478.0516229580094</v>
      </c>
      <c r="U14" s="53">
        <v>1403.3523616604898</v>
      </c>
      <c r="V14" s="53">
        <v>1353.12115529728</v>
      </c>
      <c r="W14" s="54">
        <v>1319.3433903117093</v>
      </c>
    </row>
    <row r="15" spans="2:23" x14ac:dyDescent="0.35">
      <c r="G15" s="49">
        <v>0.09</v>
      </c>
      <c r="H15" s="53">
        <v>1791.3019956947869</v>
      </c>
      <c r="I15" s="53">
        <v>1680.1645176762977</v>
      </c>
      <c r="J15" s="53">
        <v>1475.4106130749851</v>
      </c>
      <c r="K15" s="53">
        <v>1344.3302177889725</v>
      </c>
      <c r="L15" s="53">
        <v>1260.4145041336287</v>
      </c>
      <c r="M15" s="53">
        <v>1206.6929160737163</v>
      </c>
      <c r="N15" s="54">
        <v>1172.3011567956833</v>
      </c>
      <c r="P15" s="49">
        <v>0.09</v>
      </c>
      <c r="Q15" s="53">
        <v>1791.3019956947869</v>
      </c>
      <c r="R15" s="53">
        <v>1680.1645176762977</v>
      </c>
      <c r="S15" s="53">
        <v>1475.4106130749851</v>
      </c>
      <c r="T15" s="53">
        <v>1344.3302177889725</v>
      </c>
      <c r="U15" s="53">
        <v>1260.4145041336287</v>
      </c>
      <c r="V15" s="53">
        <v>1206.6929160737163</v>
      </c>
      <c r="W15" s="54">
        <v>1172.3011567956833</v>
      </c>
    </row>
    <row r="16" spans="2:23" x14ac:dyDescent="0.35">
      <c r="G16" s="49">
        <v>0.1</v>
      </c>
      <c r="H16" s="53">
        <v>1743.0147299885189</v>
      </c>
      <c r="I16" s="53">
        <v>1609.5308705282789</v>
      </c>
      <c r="J16" s="53">
        <v>1371.5278821269615</v>
      </c>
      <c r="K16" s="53">
        <v>1226.4577134183746</v>
      </c>
      <c r="L16" s="53">
        <v>1138.0329671977456</v>
      </c>
      <c r="M16" s="53">
        <v>1084.1353546576431</v>
      </c>
      <c r="N16" s="54">
        <v>1051.2830959666787</v>
      </c>
      <c r="P16" s="49">
        <v>0.1</v>
      </c>
      <c r="Q16" s="53">
        <v>1743.0147299885189</v>
      </c>
      <c r="R16" s="53">
        <v>1609.5308705282789</v>
      </c>
      <c r="S16" s="53">
        <v>1371.5278821269615</v>
      </c>
      <c r="T16" s="53">
        <v>1226.4577134183746</v>
      </c>
      <c r="U16" s="53">
        <v>1138.0329671977456</v>
      </c>
      <c r="V16" s="53">
        <v>1084.1353546576431</v>
      </c>
      <c r="W16" s="54">
        <v>1051.2830959666787</v>
      </c>
    </row>
    <row r="17" spans="7:23" x14ac:dyDescent="0.35">
      <c r="G17" s="49">
        <v>0.11</v>
      </c>
      <c r="H17" s="53">
        <v>1696.1822306533916</v>
      </c>
      <c r="I17" s="53">
        <v>1542.2548388843516</v>
      </c>
      <c r="J17" s="53">
        <v>1276.5794242497614</v>
      </c>
      <c r="K17" s="53">
        <v>1122.3813421351838</v>
      </c>
      <c r="L17" s="53">
        <v>1032.8847338000955</v>
      </c>
      <c r="M17" s="53">
        <v>980.9408782498524</v>
      </c>
      <c r="N17" s="54">
        <v>950.79265051677214</v>
      </c>
      <c r="P17" s="49">
        <v>0.11</v>
      </c>
      <c r="Q17" s="53">
        <v>1696.1822306533916</v>
      </c>
      <c r="R17" s="53">
        <v>1542.2548388843516</v>
      </c>
      <c r="S17" s="53">
        <v>1276.5794242497614</v>
      </c>
      <c r="T17" s="53">
        <v>1122.3813421351838</v>
      </c>
      <c r="U17" s="53">
        <v>1032.8847338000955</v>
      </c>
      <c r="V17" s="53">
        <v>980.9408782498524</v>
      </c>
      <c r="W17" s="54">
        <v>950.79265051677214</v>
      </c>
    </row>
    <row r="18" spans="7:23" x14ac:dyDescent="0.35">
      <c r="G18" s="49">
        <v>0.12</v>
      </c>
      <c r="H18" s="53">
        <v>1650.7574375228096</v>
      </c>
      <c r="I18" s="53">
        <v>1478.1672521137184</v>
      </c>
      <c r="J18" s="53">
        <v>1189.7425757416202</v>
      </c>
      <c r="K18" s="53">
        <v>1030.3259920233479</v>
      </c>
      <c r="L18" s="53">
        <v>942.21408882537526</v>
      </c>
      <c r="M18" s="53">
        <v>893.51333697079258</v>
      </c>
      <c r="N18" s="54">
        <v>866.59571125712807</v>
      </c>
      <c r="P18" s="49">
        <v>0.12</v>
      </c>
      <c r="Q18" s="53">
        <v>1650.7574375228096</v>
      </c>
      <c r="R18" s="53">
        <v>1478.1672521137184</v>
      </c>
      <c r="S18" s="53">
        <v>1189.7425757416202</v>
      </c>
      <c r="T18" s="53">
        <v>1030.3259920233479</v>
      </c>
      <c r="U18" s="53">
        <v>942.21408882537526</v>
      </c>
      <c r="V18" s="53">
        <v>893.51333697079258</v>
      </c>
      <c r="W18" s="54">
        <v>866.59571125712807</v>
      </c>
    </row>
    <row r="19" spans="7:23" x14ac:dyDescent="0.35">
      <c r="G19" s="49">
        <v>0.13</v>
      </c>
      <c r="H19" s="53">
        <v>1606.694907270813</v>
      </c>
      <c r="I19" s="53">
        <v>1417.1078414856368</v>
      </c>
      <c r="J19" s="53">
        <v>1110.2733385930196</v>
      </c>
      <c r="K19" s="53">
        <v>948.75561907983183</v>
      </c>
      <c r="L19" s="53">
        <v>863.73267195099857</v>
      </c>
      <c r="M19" s="53">
        <v>818.97658227699765</v>
      </c>
      <c r="N19" s="54">
        <v>795.41697124784844</v>
      </c>
      <c r="P19" s="49">
        <v>0.13</v>
      </c>
      <c r="Q19" s="53">
        <v>1606.694907270813</v>
      </c>
      <c r="R19" s="53">
        <v>1417.1078414856368</v>
      </c>
      <c r="S19" s="53">
        <v>1110.2733385930196</v>
      </c>
      <c r="T19" s="53">
        <v>948.75561907983183</v>
      </c>
      <c r="U19" s="53">
        <v>863.73267195099857</v>
      </c>
      <c r="V19" s="53">
        <v>818.97658227699765</v>
      </c>
      <c r="W19" s="54">
        <v>795.41697124784844</v>
      </c>
    </row>
    <row r="20" spans="7:23" x14ac:dyDescent="0.35">
      <c r="G20" s="49">
        <v>0.14000000000000001</v>
      </c>
      <c r="H20" s="53">
        <v>1563.9507547432881</v>
      </c>
      <c r="I20" s="53">
        <v>1358.9247537700394</v>
      </c>
      <c r="J20" s="53">
        <v>1037.4986519069266</v>
      </c>
      <c r="K20" s="53">
        <v>876.34013024119406</v>
      </c>
      <c r="L20" s="53">
        <v>795.53751665461823</v>
      </c>
      <c r="M20" s="53">
        <v>755.02422393551672</v>
      </c>
      <c r="N20" s="54">
        <v>734.71142940956997</v>
      </c>
      <c r="P20" s="49">
        <v>0.14000000000000001</v>
      </c>
      <c r="Q20" s="53">
        <v>1563.9507547432881</v>
      </c>
      <c r="R20" s="53">
        <v>1358.9247537700394</v>
      </c>
      <c r="S20" s="53">
        <v>1037.4986519069266</v>
      </c>
      <c r="T20" s="53">
        <v>876.34013024119406</v>
      </c>
      <c r="U20" s="53">
        <v>795.53751665461823</v>
      </c>
      <c r="V20" s="53">
        <v>755.02422393551672</v>
      </c>
      <c r="W20" s="54">
        <v>734.71142940956997</v>
      </c>
    </row>
    <row r="21" spans="7:23" ht="15" thickBot="1" x14ac:dyDescent="0.4">
      <c r="G21" s="50">
        <v>0.15</v>
      </c>
      <c r="H21" s="55">
        <v>1522.4825965289565</v>
      </c>
      <c r="I21" s="55">
        <v>1303.4740923488789</v>
      </c>
      <c r="J21" s="55">
        <v>970.80943971967122</v>
      </c>
      <c r="K21" s="55">
        <v>811.9269489274667</v>
      </c>
      <c r="L21" s="55">
        <v>736.04378646694522</v>
      </c>
      <c r="M21" s="55">
        <v>699.8015654626131</v>
      </c>
      <c r="N21" s="56">
        <v>682.49207886853219</v>
      </c>
      <c r="P21" s="50">
        <v>0.15</v>
      </c>
      <c r="Q21" s="55">
        <v>1522.4825965289565</v>
      </c>
      <c r="R21" s="55">
        <v>1303.4740923488789</v>
      </c>
      <c r="S21" s="55">
        <v>970.80943971967122</v>
      </c>
      <c r="T21" s="55">
        <v>811.9269489274667</v>
      </c>
      <c r="U21" s="55">
        <v>736.04378646694522</v>
      </c>
      <c r="V21" s="55">
        <v>699.8015654626131</v>
      </c>
      <c r="W21" s="56">
        <v>682.49207886853219</v>
      </c>
    </row>
  </sheetData>
  <mergeCells count="1">
    <mergeCell ref="F2:H3"/>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B9E57-F2D7-49D3-B618-6DA3EE227A74}">
  <sheetPr codeName="Sheet7">
    <tabColor theme="4" tint="0.79998168889431442"/>
  </sheetPr>
  <dimension ref="B1:K13"/>
  <sheetViews>
    <sheetView workbookViewId="0">
      <selection activeCell="E2" sqref="E2:G3"/>
    </sheetView>
  </sheetViews>
  <sheetFormatPr defaultRowHeight="14.5" x14ac:dyDescent="0.35"/>
  <sheetData>
    <row r="1" spans="2:11" ht="15" thickBot="1" x14ac:dyDescent="0.4"/>
    <row r="2" spans="2:11" x14ac:dyDescent="0.35">
      <c r="E2" s="206" t="s">
        <v>26</v>
      </c>
      <c r="F2" s="207"/>
      <c r="G2" s="208"/>
    </row>
    <row r="3" spans="2:11" ht="15" thickBot="1" x14ac:dyDescent="0.4">
      <c r="E3" s="209"/>
      <c r="F3" s="210"/>
      <c r="G3" s="211"/>
    </row>
    <row r="5" spans="2:11" ht="15" thickBot="1" x14ac:dyDescent="0.4"/>
    <row r="6" spans="2:11" x14ac:dyDescent="0.35">
      <c r="B6" s="57" t="s">
        <v>1</v>
      </c>
      <c r="C6" s="61">
        <v>2000</v>
      </c>
      <c r="G6" s="66" t="s">
        <v>21</v>
      </c>
      <c r="H6" s="67" t="s">
        <v>22</v>
      </c>
      <c r="I6" s="67" t="s">
        <v>23</v>
      </c>
      <c r="J6" s="67" t="s">
        <v>24</v>
      </c>
      <c r="K6" s="68" t="s">
        <v>25</v>
      </c>
    </row>
    <row r="7" spans="2:11" x14ac:dyDescent="0.35">
      <c r="B7" s="58" t="s">
        <v>2</v>
      </c>
      <c r="C7" s="62">
        <v>0.05</v>
      </c>
      <c r="G7" s="69">
        <v>1</v>
      </c>
      <c r="H7" s="70">
        <f>$C$6*$C$7</f>
        <v>100</v>
      </c>
      <c r="I7" s="70">
        <f>(1+$C$8)^(-G7)</f>
        <v>0.9505703422053231</v>
      </c>
      <c r="J7" s="70">
        <f>H7*I7</f>
        <v>95.057034220532316</v>
      </c>
      <c r="K7" s="62">
        <f>J7*G7</f>
        <v>95.057034220532316</v>
      </c>
    </row>
    <row r="8" spans="2:11" x14ac:dyDescent="0.35">
      <c r="B8" s="58" t="s">
        <v>3</v>
      </c>
      <c r="C8" s="62">
        <v>5.1999999999999998E-2</v>
      </c>
      <c r="G8" s="69">
        <v>2</v>
      </c>
      <c r="H8" s="70">
        <f>$C$6*$C$7</f>
        <v>100</v>
      </c>
      <c r="I8" s="70">
        <f>(1+$C$8)^(-G8)</f>
        <v>0.90358397548034508</v>
      </c>
      <c r="J8" s="70">
        <f t="shared" ref="J8:J9" si="0">H8*I8</f>
        <v>90.358397548034503</v>
      </c>
      <c r="K8" s="62">
        <f>J8*G8</f>
        <v>180.71679509606901</v>
      </c>
    </row>
    <row r="9" spans="2:11" x14ac:dyDescent="0.35">
      <c r="B9" s="58" t="s">
        <v>4</v>
      </c>
      <c r="C9" s="62">
        <v>3</v>
      </c>
      <c r="G9" s="69">
        <v>3</v>
      </c>
      <c r="H9" s="71">
        <f>$C$7*$C$6+C6</f>
        <v>2100</v>
      </c>
      <c r="I9" s="70">
        <f t="shared" ref="I9" si="1">(1+$C$8)^(-G9)</f>
        <v>0.85892012878359802</v>
      </c>
      <c r="J9" s="70">
        <f t="shared" si="0"/>
        <v>1803.7322704455557</v>
      </c>
      <c r="K9" s="62">
        <f>J9*G9</f>
        <v>5411.1968113366675</v>
      </c>
    </row>
    <row r="10" spans="2:11" x14ac:dyDescent="0.35">
      <c r="B10" s="58" t="s">
        <v>16</v>
      </c>
      <c r="C10" s="62">
        <v>1</v>
      </c>
      <c r="G10" s="74"/>
      <c r="H10" s="75"/>
      <c r="I10" s="76"/>
      <c r="J10" s="76"/>
      <c r="K10" s="77"/>
    </row>
    <row r="11" spans="2:11" ht="15" thickBot="1" x14ac:dyDescent="0.4">
      <c r="B11" s="58"/>
      <c r="C11" s="62"/>
      <c r="G11" s="78"/>
      <c r="H11" s="79"/>
      <c r="I11" s="80"/>
      <c r="J11" s="72">
        <f>SUM(J7:J9)</f>
        <v>1989.1477022141225</v>
      </c>
      <c r="K11" s="72">
        <f>SUM(K7:K9)</f>
        <v>5686.9706406532687</v>
      </c>
    </row>
    <row r="12" spans="2:11" x14ac:dyDescent="0.35">
      <c r="B12" s="59" t="s">
        <v>19</v>
      </c>
      <c r="C12" s="63">
        <f>PVBmDur(C7,C8,C9,C6,C10)</f>
        <v>2.8589986728100159</v>
      </c>
    </row>
    <row r="13" spans="2:11" ht="15" thickBot="1" x14ac:dyDescent="0.4">
      <c r="B13" s="60" t="s">
        <v>20</v>
      </c>
      <c r="C13" s="64">
        <f>PVBmloop(C7,C8,C9,C6,C10)</f>
        <v>1989.1477022141225</v>
      </c>
      <c r="I13" s="73" t="s">
        <v>26</v>
      </c>
      <c r="J13" s="65">
        <f>K11/J11</f>
        <v>2.8589986728100159</v>
      </c>
    </row>
  </sheetData>
  <mergeCells count="1">
    <mergeCell ref="E2:G3"/>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56A38-0AA0-49FA-906A-1D4E66E8B3FA}">
  <sheetPr codeName="Sheet8">
    <tabColor theme="4" tint="0.79998168889431442"/>
  </sheetPr>
  <dimension ref="B1:G21"/>
  <sheetViews>
    <sheetView workbookViewId="0">
      <selection activeCell="E2" sqref="E2:G3"/>
    </sheetView>
  </sheetViews>
  <sheetFormatPr defaultRowHeight="14.5" x14ac:dyDescent="0.35"/>
  <sheetData>
    <row r="1" spans="2:7" ht="15" thickBot="1" x14ac:dyDescent="0.4"/>
    <row r="2" spans="2:7" x14ac:dyDescent="0.35">
      <c r="E2" s="206" t="s">
        <v>122</v>
      </c>
      <c r="F2" s="207"/>
      <c r="G2" s="208"/>
    </row>
    <row r="3" spans="2:7" ht="15" thickBot="1" x14ac:dyDescent="0.4">
      <c r="E3" s="209"/>
      <c r="F3" s="210"/>
      <c r="G3" s="211"/>
    </row>
    <row r="5" spans="2:7" ht="15" thickBot="1" x14ac:dyDescent="0.4"/>
    <row r="6" spans="2:7" x14ac:dyDescent="0.35">
      <c r="B6" s="82" t="s">
        <v>1</v>
      </c>
      <c r="C6" s="85">
        <v>2000</v>
      </c>
      <c r="F6" s="89"/>
      <c r="G6" s="85">
        <f>C12</f>
        <v>2.8589986728100159</v>
      </c>
    </row>
    <row r="7" spans="2:7" x14ac:dyDescent="0.35">
      <c r="B7" s="93" t="s">
        <v>2</v>
      </c>
      <c r="C7" s="94">
        <v>0.05</v>
      </c>
      <c r="F7" s="90">
        <v>0.01</v>
      </c>
      <c r="G7" s="86">
        <f t="dataTable" ref="G7:G21" dt2D="0" dtr="0" r1="C7"/>
        <v>2.96834578301798</v>
      </c>
    </row>
    <row r="8" spans="2:7" x14ac:dyDescent="0.35">
      <c r="B8" s="83" t="s">
        <v>3</v>
      </c>
      <c r="C8" s="86">
        <v>5.1999999999999998E-2</v>
      </c>
      <c r="F8" s="90">
        <v>0.02</v>
      </c>
      <c r="G8" s="86">
        <v>2.9385724678314205</v>
      </c>
    </row>
    <row r="9" spans="2:7" x14ac:dyDescent="0.35">
      <c r="B9" s="83" t="s">
        <v>4</v>
      </c>
      <c r="C9" s="86">
        <v>3</v>
      </c>
      <c r="F9" s="90">
        <v>0.03</v>
      </c>
      <c r="G9" s="86">
        <v>2.9105172459906141</v>
      </c>
    </row>
    <row r="10" spans="2:7" x14ac:dyDescent="0.35">
      <c r="B10" s="83" t="s">
        <v>16</v>
      </c>
      <c r="C10" s="86">
        <v>1</v>
      </c>
      <c r="F10" s="90">
        <v>0.04</v>
      </c>
      <c r="G10" s="86">
        <v>2.8840355720916699</v>
      </c>
    </row>
    <row r="11" spans="2:7" x14ac:dyDescent="0.35">
      <c r="B11" s="83"/>
      <c r="C11" s="86"/>
      <c r="F11" s="90">
        <v>0.05</v>
      </c>
      <c r="G11" s="86">
        <v>2.8589986728100159</v>
      </c>
    </row>
    <row r="12" spans="2:7" ht="15" thickBot="1" x14ac:dyDescent="0.4">
      <c r="B12" s="87" t="s">
        <v>19</v>
      </c>
      <c r="C12" s="88">
        <f>PVBmDur(C7,C8,C9,C6,C10)</f>
        <v>2.8589986728100159</v>
      </c>
      <c r="F12" s="90">
        <v>0.06</v>
      </c>
      <c r="G12" s="86">
        <v>2.8352914528104995</v>
      </c>
    </row>
    <row r="13" spans="2:7" x14ac:dyDescent="0.35">
      <c r="F13" s="90">
        <v>7.0000000000000007E-2</v>
      </c>
      <c r="G13" s="86">
        <v>2.8128107256706785</v>
      </c>
    </row>
    <row r="14" spans="2:7" x14ac:dyDescent="0.35">
      <c r="F14" s="90">
        <v>0.08</v>
      </c>
      <c r="G14" s="86">
        <v>2.7914637124502768</v>
      </c>
    </row>
    <row r="15" spans="2:7" x14ac:dyDescent="0.35">
      <c r="F15" s="90">
        <v>0.09</v>
      </c>
      <c r="G15" s="86">
        <v>2.7711667618273901</v>
      </c>
    </row>
    <row r="16" spans="2:7" x14ac:dyDescent="0.35">
      <c r="F16" s="90">
        <v>0.1</v>
      </c>
      <c r="G16" s="86">
        <v>2.7518442545709672</v>
      </c>
    </row>
    <row r="17" spans="6:7" x14ac:dyDescent="0.35">
      <c r="F17" s="90">
        <v>0.11</v>
      </c>
      <c r="G17" s="86">
        <v>2.7334276621011493</v>
      </c>
    </row>
    <row r="18" spans="6:7" x14ac:dyDescent="0.35">
      <c r="F18" s="90">
        <v>0.12</v>
      </c>
      <c r="G18" s="86">
        <v>2.7158547344317712</v>
      </c>
    </row>
    <row r="19" spans="6:7" x14ac:dyDescent="0.35">
      <c r="F19" s="90">
        <v>0.13</v>
      </c>
      <c r="G19" s="86">
        <v>2.6990687972150234</v>
      </c>
    </row>
    <row r="20" spans="6:7" x14ac:dyDescent="0.35">
      <c r="F20" s="90">
        <v>0.14000000000000001</v>
      </c>
      <c r="G20" s="86">
        <v>2.6830181411616278</v>
      </c>
    </row>
    <row r="21" spans="6:7" ht="15" thickBot="1" x14ac:dyDescent="0.4">
      <c r="F21" s="91">
        <v>0.15</v>
      </c>
      <c r="G21" s="92">
        <v>2.6676554899777827</v>
      </c>
    </row>
  </sheetData>
  <mergeCells count="1">
    <mergeCell ref="E2:G3"/>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AF9FF-BFC4-4ABF-95BA-7FB8ED354333}">
  <sheetPr codeName="Sheet9">
    <tabColor theme="4" tint="0.79998168889431442"/>
  </sheetPr>
  <dimension ref="B1:G21"/>
  <sheetViews>
    <sheetView workbookViewId="0">
      <selection activeCell="E2" sqref="E2:G3"/>
    </sheetView>
  </sheetViews>
  <sheetFormatPr defaultRowHeight="14.5" x14ac:dyDescent="0.35"/>
  <sheetData>
    <row r="1" spans="2:7" ht="15" thickBot="1" x14ac:dyDescent="0.4"/>
    <row r="2" spans="2:7" x14ac:dyDescent="0.35">
      <c r="E2" s="206" t="s">
        <v>123</v>
      </c>
      <c r="F2" s="207"/>
      <c r="G2" s="208"/>
    </row>
    <row r="3" spans="2:7" ht="15" thickBot="1" x14ac:dyDescent="0.4">
      <c r="E3" s="209"/>
      <c r="F3" s="210"/>
      <c r="G3" s="211"/>
    </row>
    <row r="5" spans="2:7" ht="15" thickBot="1" x14ac:dyDescent="0.4"/>
    <row r="6" spans="2:7" x14ac:dyDescent="0.35">
      <c r="B6" s="82" t="s">
        <v>1</v>
      </c>
      <c r="C6" s="85">
        <v>2000</v>
      </c>
      <c r="E6" s="89"/>
      <c r="F6" s="85">
        <f>C12</f>
        <v>2.8589986728100159</v>
      </c>
    </row>
    <row r="7" spans="2:7" x14ac:dyDescent="0.35">
      <c r="B7" s="83" t="s">
        <v>2</v>
      </c>
      <c r="C7" s="86">
        <v>0.05</v>
      </c>
      <c r="E7" s="90">
        <v>1</v>
      </c>
      <c r="F7" s="86">
        <f t="dataTable" ref="F7:F21" dt2D="0" dtr="0" r1="C10"/>
        <v>2.8589986728100159</v>
      </c>
    </row>
    <row r="8" spans="2:7" x14ac:dyDescent="0.35">
      <c r="B8" s="83" t="s">
        <v>3</v>
      </c>
      <c r="C8" s="86">
        <v>5.1999999999999998E-2</v>
      </c>
      <c r="E8" s="90">
        <v>2</v>
      </c>
      <c r="F8" s="86">
        <v>2.8223346914430221</v>
      </c>
    </row>
    <row r="9" spans="2:7" x14ac:dyDescent="0.35">
      <c r="B9" s="83" t="s">
        <v>4</v>
      </c>
      <c r="C9" s="86">
        <v>3</v>
      </c>
      <c r="E9" s="90">
        <v>3</v>
      </c>
      <c r="F9" s="86">
        <v>2.809979543332243</v>
      </c>
    </row>
    <row r="10" spans="2:7" x14ac:dyDescent="0.35">
      <c r="B10" s="93" t="s">
        <v>16</v>
      </c>
      <c r="C10" s="94">
        <v>1</v>
      </c>
      <c r="E10" s="90">
        <v>4</v>
      </c>
      <c r="F10" s="86">
        <v>2.8037764123429758</v>
      </c>
    </row>
    <row r="11" spans="2:7" x14ac:dyDescent="0.35">
      <c r="B11" s="83"/>
      <c r="C11" s="86"/>
      <c r="E11" s="90">
        <v>5</v>
      </c>
      <c r="F11" s="86">
        <v>2.800046294521862</v>
      </c>
    </row>
    <row r="12" spans="2:7" ht="15" thickBot="1" x14ac:dyDescent="0.4">
      <c r="B12" s="87" t="s">
        <v>19</v>
      </c>
      <c r="C12" s="88">
        <f>PVBmDur(C7,C8,C9,C6,C10)</f>
        <v>2.8589986728100159</v>
      </c>
      <c r="E12" s="90">
        <v>6</v>
      </c>
      <c r="F12" s="86">
        <v>2.7975561020326594</v>
      </c>
    </row>
    <row r="13" spans="2:7" x14ac:dyDescent="0.35">
      <c r="E13" s="90">
        <v>7</v>
      </c>
      <c r="F13" s="86">
        <v>2.7957757001336159</v>
      </c>
    </row>
    <row r="14" spans="2:7" x14ac:dyDescent="0.35">
      <c r="E14" s="90">
        <v>8</v>
      </c>
      <c r="F14" s="86">
        <v>2.7944394711262563</v>
      </c>
    </row>
    <row r="15" spans="2:7" x14ac:dyDescent="0.35">
      <c r="E15" s="90">
        <v>9</v>
      </c>
      <c r="F15" s="86">
        <v>2.7933996314555412</v>
      </c>
    </row>
    <row r="16" spans="2:7" x14ac:dyDescent="0.35">
      <c r="E16" s="90">
        <v>10</v>
      </c>
      <c r="F16" s="86">
        <v>2.7925674125680175</v>
      </c>
    </row>
    <row r="17" spans="5:6" x14ac:dyDescent="0.35">
      <c r="E17" s="90">
        <v>11</v>
      </c>
      <c r="F17" s="86">
        <v>2.7918862764882562</v>
      </c>
    </row>
    <row r="18" spans="5:6" x14ac:dyDescent="0.35">
      <c r="E18" s="90">
        <v>12</v>
      </c>
      <c r="F18" s="86">
        <v>2.7913185050479439</v>
      </c>
    </row>
    <row r="19" spans="5:6" x14ac:dyDescent="0.35">
      <c r="E19" s="90">
        <v>13</v>
      </c>
      <c r="F19" s="86">
        <v>2.7908379707769719</v>
      </c>
    </row>
    <row r="20" spans="5:6" x14ac:dyDescent="0.35">
      <c r="E20" s="90">
        <v>14</v>
      </c>
      <c r="F20" s="86">
        <v>2.7904260022982172</v>
      </c>
    </row>
    <row r="21" spans="5:6" ht="15" thickBot="1" x14ac:dyDescent="0.4">
      <c r="E21" s="91">
        <v>15</v>
      </c>
      <c r="F21" s="92">
        <v>2.7900689017270079</v>
      </c>
    </row>
  </sheetData>
  <mergeCells count="1">
    <mergeCell ref="E2:G3"/>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D2C6B-4AE0-4E18-BBC4-B1F2F2AA67A2}">
  <sheetPr codeName="Sheet10">
    <tabColor theme="4" tint="0.79998168889431442"/>
  </sheetPr>
  <dimension ref="B1:G21"/>
  <sheetViews>
    <sheetView workbookViewId="0">
      <selection activeCell="E2" sqref="E2:G3"/>
    </sheetView>
  </sheetViews>
  <sheetFormatPr defaultRowHeight="14.5" x14ac:dyDescent="0.35"/>
  <sheetData>
    <row r="1" spans="2:7" ht="15" thickBot="1" x14ac:dyDescent="0.4"/>
    <row r="2" spans="2:7" x14ac:dyDescent="0.35">
      <c r="E2" s="206" t="s">
        <v>124</v>
      </c>
      <c r="F2" s="207"/>
      <c r="G2" s="208"/>
    </row>
    <row r="3" spans="2:7" ht="15" thickBot="1" x14ac:dyDescent="0.4">
      <c r="E3" s="209"/>
      <c r="F3" s="210"/>
      <c r="G3" s="211"/>
    </row>
    <row r="5" spans="2:7" ht="15" thickBot="1" x14ac:dyDescent="0.4"/>
    <row r="6" spans="2:7" x14ac:dyDescent="0.35">
      <c r="B6" s="82" t="s">
        <v>1</v>
      </c>
      <c r="C6" s="85">
        <v>2000</v>
      </c>
      <c r="E6" s="89"/>
      <c r="F6" s="85">
        <f>C12</f>
        <v>2.8589986728100159</v>
      </c>
    </row>
    <row r="7" spans="2:7" x14ac:dyDescent="0.35">
      <c r="B7" s="83" t="s">
        <v>2</v>
      </c>
      <c r="C7" s="86">
        <v>0.05</v>
      </c>
      <c r="E7" s="90">
        <v>0.01</v>
      </c>
      <c r="F7" s="86">
        <f t="dataTable" ref="F7:F21" dt2D="0" dtr="0" r1="C8"/>
        <v>2.867555937664187</v>
      </c>
    </row>
    <row r="8" spans="2:7" x14ac:dyDescent="0.35">
      <c r="B8" s="93" t="s">
        <v>3</v>
      </c>
      <c r="C8" s="94">
        <v>5.1999999999999998E-2</v>
      </c>
      <c r="E8" s="90">
        <v>0.02</v>
      </c>
      <c r="F8" s="86">
        <v>2.8655357235780814</v>
      </c>
    </row>
    <row r="9" spans="2:7" x14ac:dyDescent="0.35">
      <c r="B9" s="83" t="s">
        <v>4</v>
      </c>
      <c r="C9" s="86">
        <v>3</v>
      </c>
      <c r="E9" s="90">
        <v>0.03</v>
      </c>
      <c r="F9" s="86">
        <v>2.8635046706711305</v>
      </c>
    </row>
    <row r="10" spans="2:7" x14ac:dyDescent="0.35">
      <c r="B10" s="83" t="s">
        <v>16</v>
      </c>
      <c r="C10" s="86">
        <v>1</v>
      </c>
      <c r="E10" s="90">
        <v>0.04</v>
      </c>
      <c r="F10" s="86">
        <v>2.8614628745415538</v>
      </c>
    </row>
    <row r="11" spans="2:7" x14ac:dyDescent="0.35">
      <c r="B11" s="83"/>
      <c r="C11" s="86"/>
      <c r="E11" s="90">
        <v>0.05</v>
      </c>
      <c r="F11" s="86">
        <v>2.8594104308390018</v>
      </c>
    </row>
    <row r="12" spans="2:7" ht="15" thickBot="1" x14ac:dyDescent="0.4">
      <c r="B12" s="87" t="s">
        <v>19</v>
      </c>
      <c r="C12" s="88">
        <f>PVBmDur(C7,C8,C9,C6,C10)</f>
        <v>2.8589986728100159</v>
      </c>
      <c r="E12" s="90">
        <v>0.06</v>
      </c>
      <c r="F12" s="86">
        <v>2.8573474352559569</v>
      </c>
    </row>
    <row r="13" spans="2:7" x14ac:dyDescent="0.35">
      <c r="E13" s="90">
        <v>7.0000000000000007E-2</v>
      </c>
      <c r="F13" s="86">
        <v>2.8552739835192056</v>
      </c>
    </row>
    <row r="14" spans="2:7" x14ac:dyDescent="0.35">
      <c r="E14" s="90">
        <v>0.08</v>
      </c>
      <c r="F14" s="86">
        <v>2.853190171381375</v>
      </c>
    </row>
    <row r="15" spans="2:7" x14ac:dyDescent="0.35">
      <c r="E15" s="90">
        <v>0.09</v>
      </c>
      <c r="F15" s="86">
        <v>2.851096094612533</v>
      </c>
    </row>
    <row r="16" spans="2:7" x14ac:dyDescent="0.35">
      <c r="E16" s="90">
        <v>0.1</v>
      </c>
      <c r="F16" s="86">
        <v>2.8489918489918487</v>
      </c>
    </row>
    <row r="17" spans="5:6" x14ac:dyDescent="0.35">
      <c r="E17" s="90">
        <v>0.11</v>
      </c>
      <c r="F17" s="86">
        <v>2.8468775302993303</v>
      </c>
    </row>
    <row r="18" spans="5:6" x14ac:dyDescent="0.35">
      <c r="E18" s="90">
        <v>0.12</v>
      </c>
      <c r="F18" s="86">
        <v>2.8447532343076189</v>
      </c>
    </row>
    <row r="19" spans="5:6" x14ac:dyDescent="0.35">
      <c r="E19" s="90">
        <v>0.13</v>
      </c>
      <c r="F19" s="86">
        <v>2.8426190567738581</v>
      </c>
    </row>
    <row r="20" spans="5:6" x14ac:dyDescent="0.35">
      <c r="E20" s="90">
        <v>0.14000000000000001</v>
      </c>
      <c r="F20" s="86">
        <v>2.8404750934316292</v>
      </c>
    </row>
    <row r="21" spans="5:6" ht="15" thickBot="1" x14ac:dyDescent="0.4">
      <c r="E21" s="91">
        <v>0.15</v>
      </c>
      <c r="F21" s="92">
        <v>2.8383214399829586</v>
      </c>
    </row>
  </sheetData>
  <mergeCells count="1">
    <mergeCell ref="E2:G3"/>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499D1-3105-4C3D-9C95-6EE2D2752662}">
  <sheetPr codeName="Sheet11">
    <tabColor theme="9" tint="0.79998168889431442"/>
  </sheetPr>
  <dimension ref="B1:K13"/>
  <sheetViews>
    <sheetView workbookViewId="0">
      <selection activeCell="F2" sqref="F2:H3"/>
    </sheetView>
  </sheetViews>
  <sheetFormatPr defaultRowHeight="14.5" x14ac:dyDescent="0.35"/>
  <sheetData>
    <row r="1" spans="2:11" ht="15" thickBot="1" x14ac:dyDescent="0.4"/>
    <row r="2" spans="2:11" x14ac:dyDescent="0.35">
      <c r="F2" s="206" t="s">
        <v>125</v>
      </c>
      <c r="G2" s="207"/>
      <c r="H2" s="208"/>
    </row>
    <row r="3" spans="2:11" ht="15" thickBot="1" x14ac:dyDescent="0.4">
      <c r="F3" s="209"/>
      <c r="G3" s="210"/>
      <c r="H3" s="211"/>
    </row>
    <row r="4" spans="2:11" ht="15" thickBot="1" x14ac:dyDescent="0.4"/>
    <row r="5" spans="2:11" ht="15" thickBot="1" x14ac:dyDescent="0.4">
      <c r="H5" s="105" t="s">
        <v>27</v>
      </c>
    </row>
    <row r="6" spans="2:11" ht="15" thickBot="1" x14ac:dyDescent="0.4">
      <c r="B6" s="82" t="s">
        <v>2</v>
      </c>
      <c r="C6" s="96">
        <v>0.06</v>
      </c>
      <c r="D6" s="85">
        <v>0.06</v>
      </c>
      <c r="G6" s="102">
        <f>C12</f>
        <v>2.7911937945110434</v>
      </c>
      <c r="H6" s="103">
        <v>0.02</v>
      </c>
      <c r="I6" s="103">
        <v>0.04</v>
      </c>
      <c r="J6" s="103">
        <v>0.06</v>
      </c>
      <c r="K6" s="104">
        <v>0.08</v>
      </c>
    </row>
    <row r="7" spans="2:11" ht="15" thickBot="1" x14ac:dyDescent="0.4">
      <c r="B7" s="83" t="s">
        <v>3</v>
      </c>
      <c r="C7" s="97">
        <v>5.6000000000000001E-2</v>
      </c>
      <c r="D7" s="86">
        <v>5.6000000000000001E-2</v>
      </c>
      <c r="F7" s="105" t="s">
        <v>4</v>
      </c>
      <c r="G7" s="83">
        <v>1</v>
      </c>
      <c r="H7" s="97">
        <f t="dataTable" ref="H7:K13" dt2D="1" dtr="1" r1="C6" r2="C8"/>
        <v>0.99496216724820641</v>
      </c>
      <c r="I7" s="97">
        <v>0.99012070423618059</v>
      </c>
      <c r="J7" s="97">
        <v>0.98546434900644764</v>
      </c>
      <c r="K7" s="86">
        <v>0.98098268462335347</v>
      </c>
    </row>
    <row r="8" spans="2:11" x14ac:dyDescent="0.35">
      <c r="B8" s="83" t="s">
        <v>4</v>
      </c>
      <c r="C8" s="97">
        <v>3</v>
      </c>
      <c r="D8" s="86">
        <v>3</v>
      </c>
      <c r="G8" s="83">
        <v>5</v>
      </c>
      <c r="H8" s="97">
        <v>4.7588905864480751</v>
      </c>
      <c r="I8" s="97">
        <v>4.5624157344084173</v>
      </c>
      <c r="J8" s="97">
        <v>4.3992312400221962</v>
      </c>
      <c r="K8" s="86">
        <v>4.2615369361146866</v>
      </c>
    </row>
    <row r="9" spans="2:11" x14ac:dyDescent="0.35">
      <c r="B9" s="83" t="s">
        <v>1</v>
      </c>
      <c r="C9" s="97">
        <v>1000</v>
      </c>
      <c r="D9" s="86">
        <v>1000</v>
      </c>
      <c r="G9" s="83">
        <v>10</v>
      </c>
      <c r="H9" s="97">
        <v>8.9147791491491439</v>
      </c>
      <c r="I9" s="97">
        <v>8.2039080444859103</v>
      </c>
      <c r="J9" s="97">
        <v>7.7021813220261892</v>
      </c>
      <c r="K9" s="86">
        <v>7.3291371529074576</v>
      </c>
    </row>
    <row r="10" spans="2:11" x14ac:dyDescent="0.35">
      <c r="B10" s="83" t="s">
        <v>16</v>
      </c>
      <c r="C10" s="97">
        <v>2</v>
      </c>
      <c r="D10" s="86">
        <v>2</v>
      </c>
      <c r="G10" s="83">
        <v>20</v>
      </c>
      <c r="H10" s="97">
        <v>15.160820494131633</v>
      </c>
      <c r="I10" s="97">
        <v>13.178732254105197</v>
      </c>
      <c r="J10" s="97">
        <v>12.100162734716445</v>
      </c>
      <c r="K10" s="86">
        <v>11.42199123208875</v>
      </c>
    </row>
    <row r="11" spans="2:11" x14ac:dyDescent="0.35">
      <c r="B11" s="83"/>
      <c r="C11" s="97"/>
      <c r="D11" s="86"/>
      <c r="G11" s="83">
        <v>50</v>
      </c>
      <c r="H11" s="97">
        <v>20.547359817919325</v>
      </c>
      <c r="I11" s="97">
        <v>18.005807702284031</v>
      </c>
      <c r="J11" s="97">
        <v>17.058262279314334</v>
      </c>
      <c r="K11" s="86">
        <v>16.563126218125312</v>
      </c>
    </row>
    <row r="12" spans="2:11" ht="15" thickBot="1" x14ac:dyDescent="0.4">
      <c r="B12" s="98" t="s">
        <v>26</v>
      </c>
      <c r="C12" s="99">
        <f>PVBmDur(C6,C7,C8,C9,C10)</f>
        <v>2.7911937945110434</v>
      </c>
      <c r="D12" s="100">
        <f>PVBm(D6,D7,D8,D9,D10)</f>
        <v>1010.9065707102791</v>
      </c>
      <c r="G12" s="83">
        <v>100</v>
      </c>
      <c r="H12" s="97">
        <v>18.867068905843269</v>
      </c>
      <c r="I12" s="97">
        <v>18.414161894356692</v>
      </c>
      <c r="J12" s="97">
        <v>18.262067126739026</v>
      </c>
      <c r="K12" s="86">
        <v>18.185806889804212</v>
      </c>
    </row>
    <row r="13" spans="2:11" ht="15" thickBot="1" x14ac:dyDescent="0.4">
      <c r="G13" s="84">
        <v>1000000</v>
      </c>
      <c r="H13" s="101">
        <v>18.357142857142843</v>
      </c>
      <c r="I13" s="101">
        <v>18.357142857142843</v>
      </c>
      <c r="J13" s="101">
        <v>18.357142857142932</v>
      </c>
      <c r="K13" s="92">
        <v>18.357142857142843</v>
      </c>
    </row>
  </sheetData>
  <mergeCells count="1">
    <mergeCell ref="F2:H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HopewellKaufman_Button1_Click">
                <anchor moveWithCells="1" sizeWithCells="1">
                  <from>
                    <xdr:col>0</xdr:col>
                    <xdr:colOff>444500</xdr:colOff>
                    <xdr:row>0</xdr:row>
                    <xdr:rowOff>171450</xdr:rowOff>
                  </from>
                  <to>
                    <xdr:col>2</xdr:col>
                    <xdr:colOff>349250</xdr:colOff>
                    <xdr:row>4</xdr:row>
                    <xdr:rowOff>57150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FB2FF-D8E5-49A2-969C-013484CEF94F}">
  <sheetPr codeName="Sheet12">
    <tabColor theme="5" tint="0.79998168889431442"/>
  </sheetPr>
  <dimension ref="B1:H17"/>
  <sheetViews>
    <sheetView workbookViewId="0">
      <selection activeCell="F2" sqref="F2:H3"/>
    </sheetView>
  </sheetViews>
  <sheetFormatPr defaultRowHeight="14.5" x14ac:dyDescent="0.35"/>
  <cols>
    <col min="3" max="3" width="12.6328125" bestFit="1" customWidth="1"/>
  </cols>
  <sheetData>
    <row r="1" spans="2:8" ht="15" thickBot="1" x14ac:dyDescent="0.4"/>
    <row r="2" spans="2:8" x14ac:dyDescent="0.35">
      <c r="F2" s="206" t="s">
        <v>126</v>
      </c>
      <c r="G2" s="207"/>
      <c r="H2" s="208"/>
    </row>
    <row r="3" spans="2:8" ht="15" thickBot="1" x14ac:dyDescent="0.4">
      <c r="F3" s="209"/>
      <c r="G3" s="210"/>
      <c r="H3" s="211"/>
    </row>
    <row r="5" spans="2:8" ht="15" thickBot="1" x14ac:dyDescent="0.4"/>
    <row r="6" spans="2:8" x14ac:dyDescent="0.35">
      <c r="B6" s="20" t="s">
        <v>1</v>
      </c>
      <c r="C6" s="23">
        <v>2000</v>
      </c>
    </row>
    <row r="7" spans="2:8" x14ac:dyDescent="0.35">
      <c r="B7" s="21" t="s">
        <v>2</v>
      </c>
      <c r="C7" s="24">
        <v>0.05</v>
      </c>
    </row>
    <row r="8" spans="2:8" x14ac:dyDescent="0.35">
      <c r="B8" s="21" t="s">
        <v>3</v>
      </c>
      <c r="C8" s="24">
        <v>5.1999999999999998E-2</v>
      </c>
    </row>
    <row r="9" spans="2:8" x14ac:dyDescent="0.35">
      <c r="B9" s="21" t="s">
        <v>4</v>
      </c>
      <c r="C9" s="24">
        <v>3</v>
      </c>
    </row>
    <row r="10" spans="2:8" x14ac:dyDescent="0.35">
      <c r="B10" s="21" t="s">
        <v>16</v>
      </c>
      <c r="C10" s="24">
        <v>1</v>
      </c>
    </row>
    <row r="11" spans="2:8" x14ac:dyDescent="0.35">
      <c r="B11" s="21" t="s">
        <v>28</v>
      </c>
      <c r="C11" s="24">
        <v>1010.77</v>
      </c>
    </row>
    <row r="12" spans="2:8" x14ac:dyDescent="0.35">
      <c r="B12" s="21"/>
      <c r="C12" s="106"/>
    </row>
    <row r="13" spans="2:8" x14ac:dyDescent="0.35">
      <c r="B13" s="21"/>
      <c r="C13" s="24"/>
    </row>
    <row r="14" spans="2:8" ht="15" thickBot="1" x14ac:dyDescent="0.4">
      <c r="B14" s="107" t="s">
        <v>29</v>
      </c>
      <c r="C14" s="108">
        <f>PVBmIRR(C7,C9,C6,C10,C11)</f>
        <v>0.336334228515625</v>
      </c>
    </row>
    <row r="17" spans="3:4" x14ac:dyDescent="0.35">
      <c r="C17" t="s">
        <v>30</v>
      </c>
      <c r="D17" s="1" t="s">
        <v>31</v>
      </c>
    </row>
  </sheetData>
  <mergeCells count="1">
    <mergeCell ref="F2:H3"/>
  </mergeCells>
  <hyperlinks>
    <hyperlink ref="D17" r:id="rId1" xr:uid="{CA94CDCD-DF07-4443-8C24-EE002F9A495E}"/>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iiYTMBisection_Button1_Click">
                <anchor moveWithCells="1" sizeWithCells="1">
                  <from>
                    <xdr:col>0</xdr:col>
                    <xdr:colOff>342900</xdr:colOff>
                    <xdr:row>0</xdr:row>
                    <xdr:rowOff>165100</xdr:rowOff>
                  </from>
                  <to>
                    <xdr:col>1</xdr:col>
                    <xdr:colOff>603250</xdr:colOff>
                    <xdr:row>4</xdr:row>
                    <xdr:rowOff>57150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7BFD6-4F5C-4929-B162-B6D75A3816F0}">
  <sheetPr codeName="Sheet13">
    <tabColor theme="1" tint="0.499984740745262"/>
  </sheetPr>
  <dimension ref="B1:G20"/>
  <sheetViews>
    <sheetView workbookViewId="0">
      <selection activeCell="E2" sqref="E2:G3"/>
    </sheetView>
  </sheetViews>
  <sheetFormatPr defaultRowHeight="14.5" x14ac:dyDescent="0.35"/>
  <cols>
    <col min="2" max="2" width="17.90625" bestFit="1" customWidth="1"/>
  </cols>
  <sheetData>
    <row r="1" spans="2:7" ht="15" thickBot="1" x14ac:dyDescent="0.4"/>
    <row r="2" spans="2:7" x14ac:dyDescent="0.35">
      <c r="E2" s="206" t="s">
        <v>127</v>
      </c>
      <c r="F2" s="207"/>
      <c r="G2" s="208"/>
    </row>
    <row r="3" spans="2:7" ht="15" thickBot="1" x14ac:dyDescent="0.4">
      <c r="E3" s="209"/>
      <c r="F3" s="210"/>
      <c r="G3" s="211"/>
    </row>
    <row r="5" spans="2:7" ht="15" thickBot="1" x14ac:dyDescent="0.4"/>
    <row r="6" spans="2:7" x14ac:dyDescent="0.35">
      <c r="B6" s="109" t="s">
        <v>32</v>
      </c>
      <c r="C6" s="112">
        <v>150000</v>
      </c>
      <c r="D6" s="112">
        <v>450000</v>
      </c>
      <c r="E6" s="113">
        <v>500000</v>
      </c>
    </row>
    <row r="7" spans="2:7" x14ac:dyDescent="0.35">
      <c r="B7" s="110" t="s">
        <v>3</v>
      </c>
      <c r="C7" s="16">
        <v>0.02</v>
      </c>
      <c r="D7" s="16">
        <v>0.02</v>
      </c>
      <c r="E7" s="114">
        <v>0.02</v>
      </c>
    </row>
    <row r="8" spans="2:7" x14ac:dyDescent="0.35">
      <c r="B8" s="110" t="s">
        <v>4</v>
      </c>
      <c r="C8" s="16">
        <v>25</v>
      </c>
      <c r="D8" s="16">
        <v>25</v>
      </c>
      <c r="E8" s="114">
        <v>25</v>
      </c>
    </row>
    <row r="9" spans="2:7" ht="15" thickBot="1" x14ac:dyDescent="0.4">
      <c r="B9" s="111" t="s">
        <v>16</v>
      </c>
      <c r="C9" s="17">
        <v>10</v>
      </c>
      <c r="D9" s="17">
        <v>10</v>
      </c>
      <c r="E9" s="115">
        <v>10</v>
      </c>
    </row>
    <row r="10" spans="2:7" ht="15" thickBot="1" x14ac:dyDescent="0.4"/>
    <row r="11" spans="2:7" ht="15" thickBot="1" x14ac:dyDescent="0.4">
      <c r="B11" s="117" t="s">
        <v>33</v>
      </c>
      <c r="C11" s="116" t="s">
        <v>34</v>
      </c>
    </row>
    <row r="12" spans="2:7" ht="15" thickBot="1" x14ac:dyDescent="0.4"/>
    <row r="13" spans="2:7" x14ac:dyDescent="0.35">
      <c r="B13" s="109" t="s">
        <v>35</v>
      </c>
      <c r="C13" s="112">
        <f>(1-(1+C7/C9)^(-C9*C8))/(C7/C9)</f>
        <v>196.58320153926923</v>
      </c>
      <c r="D13" s="112">
        <f t="shared" ref="D13:E13" si="0">(1-(1+D7/D9)^(-D9*D8))/(D7/D9)</f>
        <v>196.58320153926923</v>
      </c>
      <c r="E13" s="113">
        <f t="shared" si="0"/>
        <v>196.58320153926923</v>
      </c>
    </row>
    <row r="14" spans="2:7" x14ac:dyDescent="0.35">
      <c r="B14" s="110"/>
      <c r="C14" s="16"/>
      <c r="D14" s="16"/>
      <c r="E14" s="114"/>
    </row>
    <row r="15" spans="2:7" x14ac:dyDescent="0.35">
      <c r="B15" s="110" t="s">
        <v>33</v>
      </c>
      <c r="C15" s="16">
        <f>C6/C13</f>
        <v>763.03569595714509</v>
      </c>
      <c r="D15" s="16">
        <f t="shared" ref="D15:E15" si="1">D6/D13</f>
        <v>2289.1070878714349</v>
      </c>
      <c r="E15" s="114">
        <f t="shared" si="1"/>
        <v>2543.4523198571501</v>
      </c>
    </row>
    <row r="16" spans="2:7" x14ac:dyDescent="0.35">
      <c r="B16" s="110"/>
      <c r="C16" s="16"/>
      <c r="D16" s="16"/>
      <c r="E16" s="114"/>
    </row>
    <row r="17" spans="2:5" ht="15" thickBot="1" x14ac:dyDescent="0.4">
      <c r="B17" s="111" t="s">
        <v>36</v>
      </c>
      <c r="C17" s="17">
        <f>MortPayment(C6,C8,C9,C7)</f>
        <v>763.03569595713839</v>
      </c>
      <c r="D17" s="17">
        <f t="shared" ref="D17:E17" si="2">MortPayment(D6,D8,D9,D7)</f>
        <v>2289.1070878714154</v>
      </c>
      <c r="E17" s="115">
        <f t="shared" si="2"/>
        <v>2543.4523198571283</v>
      </c>
    </row>
    <row r="19" spans="2:5" ht="15" thickBot="1" x14ac:dyDescent="0.4"/>
    <row r="20" spans="2:5" ht="15" thickBot="1" x14ac:dyDescent="0.4">
      <c r="B20" s="105" t="s">
        <v>41</v>
      </c>
      <c r="C20" s="1" t="s">
        <v>42</v>
      </c>
    </row>
  </sheetData>
  <mergeCells count="1">
    <mergeCell ref="E2:G3"/>
  </mergeCells>
  <hyperlinks>
    <hyperlink ref="C20" r:id="rId1" xr:uid="{39465435-C11D-4348-AB0B-F63F9408B8DC}"/>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3B5B4-35F3-4E1F-BB73-8CE57A2C4677}">
  <sheetPr codeName="Sheet14">
    <tabColor theme="2" tint="-9.9978637043366805E-2"/>
  </sheetPr>
  <dimension ref="A1:J269"/>
  <sheetViews>
    <sheetView workbookViewId="0">
      <selection activeCell="F2" sqref="F2:H3"/>
    </sheetView>
  </sheetViews>
  <sheetFormatPr defaultRowHeight="14.5" x14ac:dyDescent="0.35"/>
  <cols>
    <col min="2" max="2" width="11.7265625" bestFit="1" customWidth="1"/>
    <col min="9" max="9" width="13" bestFit="1" customWidth="1"/>
  </cols>
  <sheetData>
    <row r="1" spans="2:8" ht="15" thickBot="1" x14ac:dyDescent="0.4"/>
    <row r="2" spans="2:8" x14ac:dyDescent="0.35">
      <c r="F2" s="206" t="s">
        <v>44</v>
      </c>
      <c r="G2" s="207"/>
      <c r="H2" s="208"/>
    </row>
    <row r="3" spans="2:8" ht="15" thickBot="1" x14ac:dyDescent="0.4">
      <c r="F3" s="209"/>
      <c r="G3" s="210"/>
      <c r="H3" s="211"/>
    </row>
    <row r="5" spans="2:8" ht="15" thickBot="1" x14ac:dyDescent="0.4"/>
    <row r="6" spans="2:8" x14ac:dyDescent="0.35">
      <c r="B6" s="57" t="s">
        <v>32</v>
      </c>
      <c r="C6" s="118">
        <v>100000</v>
      </c>
    </row>
    <row r="7" spans="2:8" x14ac:dyDescent="0.35">
      <c r="B7" s="58" t="s">
        <v>3</v>
      </c>
      <c r="C7" s="77">
        <v>0.06</v>
      </c>
    </row>
    <row r="8" spans="2:8" ht="15" thickBot="1" x14ac:dyDescent="0.4">
      <c r="B8" s="58" t="s">
        <v>4</v>
      </c>
      <c r="C8" s="77">
        <v>25</v>
      </c>
    </row>
    <row r="9" spans="2:8" ht="15" thickBot="1" x14ac:dyDescent="0.4">
      <c r="B9" s="58" t="s">
        <v>16</v>
      </c>
      <c r="C9" s="77">
        <v>10</v>
      </c>
      <c r="D9" s="105">
        <f>C8*C9</f>
        <v>250</v>
      </c>
    </row>
    <row r="10" spans="2:8" x14ac:dyDescent="0.35">
      <c r="B10" s="58"/>
      <c r="C10" s="77"/>
    </row>
    <row r="11" spans="2:8" x14ac:dyDescent="0.35">
      <c r="B11" s="119" t="s">
        <v>36</v>
      </c>
      <c r="C11" s="121">
        <f>MortPayment(C6,C8,C9,C7)</f>
        <v>773.32791216549947</v>
      </c>
      <c r="H11" t="s">
        <v>43</v>
      </c>
    </row>
    <row r="12" spans="2:8" ht="15" thickBot="1" x14ac:dyDescent="0.4">
      <c r="B12" s="120" t="s">
        <v>44</v>
      </c>
      <c r="C12" s="122">
        <f>PeriodicRepayment(C6,C7,C8,C9)</f>
        <v>773.32791216549947</v>
      </c>
    </row>
    <row r="13" spans="2:8" ht="15" thickBot="1" x14ac:dyDescent="0.4"/>
    <row r="14" spans="2:8" ht="15" thickBot="1" x14ac:dyDescent="0.4">
      <c r="B14" s="36"/>
      <c r="C14" s="126" t="s">
        <v>37</v>
      </c>
      <c r="D14" s="127" t="s">
        <v>38</v>
      </c>
      <c r="E14" s="127" t="s">
        <v>39</v>
      </c>
      <c r="F14" s="128" t="s">
        <v>40</v>
      </c>
    </row>
    <row r="15" spans="2:8" x14ac:dyDescent="0.35">
      <c r="B15" s="37">
        <v>1</v>
      </c>
      <c r="C15" s="76">
        <f>$C$11</f>
        <v>773.32791216549947</v>
      </c>
      <c r="D15" s="76">
        <f>C6*C7/C9</f>
        <v>600</v>
      </c>
      <c r="E15" s="76">
        <f>C15-D15</f>
        <v>173.32791216549947</v>
      </c>
      <c r="F15" s="77">
        <f>C6-E15</f>
        <v>99826.672087834508</v>
      </c>
    </row>
    <row r="16" spans="2:8" x14ac:dyDescent="0.35">
      <c r="B16" s="37">
        <v>2</v>
      </c>
      <c r="C16" s="76">
        <f t="shared" ref="C16:C79" si="0">$C$11</f>
        <v>773.32791216549947</v>
      </c>
      <c r="D16" s="76">
        <f>F15*$C$7/$C$9</f>
        <v>598.960032527007</v>
      </c>
      <c r="E16" s="76">
        <f>C16-D16</f>
        <v>174.36787963849247</v>
      </c>
      <c r="F16" s="77">
        <f>$C$6-SUM($E$15:E16)</f>
        <v>99652.304208196001</v>
      </c>
    </row>
    <row r="17" spans="2:10" x14ac:dyDescent="0.35">
      <c r="B17" s="37">
        <v>3</v>
      </c>
      <c r="C17" s="76">
        <f t="shared" si="0"/>
        <v>773.32791216549947</v>
      </c>
      <c r="D17" s="76">
        <f t="shared" ref="D17:D80" si="1">F16*$C$7/$C$9</f>
        <v>597.91382524917594</v>
      </c>
      <c r="E17" s="76">
        <f t="shared" ref="E17:E80" si="2">C17-D17</f>
        <v>175.41408691632353</v>
      </c>
      <c r="F17" s="77">
        <f>$C$6-SUM($E$15:E17)</f>
        <v>99476.890121279692</v>
      </c>
    </row>
    <row r="18" spans="2:10" x14ac:dyDescent="0.35">
      <c r="B18" s="37">
        <v>4</v>
      </c>
      <c r="C18" s="76">
        <f t="shared" si="0"/>
        <v>773.32791216549947</v>
      </c>
      <c r="D18" s="76">
        <f t="shared" si="1"/>
        <v>596.86134072767811</v>
      </c>
      <c r="E18" s="76">
        <f t="shared" si="2"/>
        <v>176.46657143782136</v>
      </c>
      <c r="F18" s="77">
        <f>$C$6-SUM($E$15:E18)</f>
        <v>99300.423549841857</v>
      </c>
    </row>
    <row r="19" spans="2:10" x14ac:dyDescent="0.35">
      <c r="B19" s="37">
        <v>5</v>
      </c>
      <c r="C19" s="76">
        <f t="shared" si="0"/>
        <v>773.32791216549947</v>
      </c>
      <c r="D19" s="76">
        <f t="shared" si="1"/>
        <v>595.8025412990512</v>
      </c>
      <c r="E19" s="76">
        <f t="shared" si="2"/>
        <v>177.52537086644827</v>
      </c>
      <c r="F19" s="77">
        <f>$C$6-SUM($E$15:E19)</f>
        <v>99122.898178975418</v>
      </c>
    </row>
    <row r="20" spans="2:10" x14ac:dyDescent="0.35">
      <c r="B20" s="37">
        <v>6</v>
      </c>
      <c r="C20" s="76">
        <f t="shared" si="0"/>
        <v>773.32791216549947</v>
      </c>
      <c r="D20" s="76">
        <f t="shared" si="1"/>
        <v>594.73738907385246</v>
      </c>
      <c r="E20" s="76">
        <f t="shared" si="2"/>
        <v>178.59052309164701</v>
      </c>
      <c r="F20" s="77">
        <f>$C$6-SUM($E$15:E20)</f>
        <v>98944.307655883764</v>
      </c>
    </row>
    <row r="21" spans="2:10" x14ac:dyDescent="0.35">
      <c r="B21" s="37">
        <v>7</v>
      </c>
      <c r="C21" s="76">
        <f t="shared" si="0"/>
        <v>773.32791216549947</v>
      </c>
      <c r="D21" s="76">
        <f t="shared" si="1"/>
        <v>593.66584593530263</v>
      </c>
      <c r="E21" s="76">
        <f t="shared" si="2"/>
        <v>179.66206623019684</v>
      </c>
      <c r="F21" s="77">
        <f>$C$6-SUM($E$15:E21)</f>
        <v>98764.645589653577</v>
      </c>
    </row>
    <row r="22" spans="2:10" x14ac:dyDescent="0.35">
      <c r="B22" s="37">
        <v>8</v>
      </c>
      <c r="C22" s="76">
        <f t="shared" si="0"/>
        <v>773.32791216549947</v>
      </c>
      <c r="D22" s="76">
        <f t="shared" si="1"/>
        <v>592.58787353792138</v>
      </c>
      <c r="E22" s="76">
        <f t="shared" si="2"/>
        <v>180.74003862757809</v>
      </c>
      <c r="F22" s="77">
        <f>$C$6-SUM($E$15:E22)</f>
        <v>98583.905551025993</v>
      </c>
    </row>
    <row r="23" spans="2:10" x14ac:dyDescent="0.35">
      <c r="B23" s="37">
        <v>9</v>
      </c>
      <c r="C23" s="76">
        <f t="shared" si="0"/>
        <v>773.32791216549947</v>
      </c>
      <c r="D23" s="76">
        <f t="shared" si="1"/>
        <v>591.50343330615601</v>
      </c>
      <c r="E23" s="76">
        <f t="shared" si="2"/>
        <v>181.82447885934346</v>
      </c>
      <c r="F23" s="77">
        <f>$C$6-SUM($E$15:E23)</f>
        <v>98402.081072166649</v>
      </c>
    </row>
    <row r="24" spans="2:10" x14ac:dyDescent="0.35">
      <c r="B24" s="37">
        <v>10</v>
      </c>
      <c r="C24" s="76">
        <f t="shared" si="0"/>
        <v>773.32791216549947</v>
      </c>
      <c r="D24" s="76">
        <f t="shared" si="1"/>
        <v>590.41248643299991</v>
      </c>
      <c r="E24" s="76">
        <f t="shared" si="2"/>
        <v>182.91542573249956</v>
      </c>
      <c r="F24" s="77">
        <f>$C$6-SUM($E$15:E24)</f>
        <v>98219.16564643415</v>
      </c>
    </row>
    <row r="25" spans="2:10" x14ac:dyDescent="0.35">
      <c r="B25" s="37">
        <v>11</v>
      </c>
      <c r="C25" s="76">
        <f t="shared" si="0"/>
        <v>773.32791216549947</v>
      </c>
      <c r="D25" s="76">
        <f t="shared" si="1"/>
        <v>589.31499387860481</v>
      </c>
      <c r="E25" s="76">
        <f t="shared" si="2"/>
        <v>184.01291828689466</v>
      </c>
      <c r="F25" s="77">
        <f>$C$6-SUM($E$15:E25)</f>
        <v>98035.152728147252</v>
      </c>
    </row>
    <row r="26" spans="2:10" x14ac:dyDescent="0.35">
      <c r="B26" s="37">
        <v>12</v>
      </c>
      <c r="C26" s="76">
        <f t="shared" si="0"/>
        <v>773.32791216549947</v>
      </c>
      <c r="D26" s="76">
        <f t="shared" si="1"/>
        <v>588.21091636888355</v>
      </c>
      <c r="E26" s="76">
        <f t="shared" si="2"/>
        <v>185.11699579661592</v>
      </c>
      <c r="F26" s="77">
        <f>$C$6-SUM($E$15:E26)</f>
        <v>97850.035732350632</v>
      </c>
    </row>
    <row r="27" spans="2:10" x14ac:dyDescent="0.35">
      <c r="B27" s="37">
        <v>13</v>
      </c>
      <c r="C27" s="76">
        <f t="shared" si="0"/>
        <v>773.32791216549947</v>
      </c>
      <c r="D27" s="76">
        <f t="shared" si="1"/>
        <v>587.10021439410377</v>
      </c>
      <c r="E27" s="76">
        <f t="shared" si="2"/>
        <v>186.2276977713957</v>
      </c>
      <c r="F27" s="77">
        <f>$C$6-SUM($E$15:E27)</f>
        <v>97663.80803457924</v>
      </c>
    </row>
    <row r="28" spans="2:10" x14ac:dyDescent="0.35">
      <c r="B28" s="37">
        <v>14</v>
      </c>
      <c r="C28" s="76">
        <f t="shared" si="0"/>
        <v>773.32791216549947</v>
      </c>
      <c r="D28" s="76">
        <f t="shared" si="1"/>
        <v>585.9828482074754</v>
      </c>
      <c r="E28" s="76">
        <f t="shared" si="2"/>
        <v>187.34506395802407</v>
      </c>
      <c r="F28" s="77">
        <f>$C$6-SUM($E$15:E28)</f>
        <v>97476.462970621214</v>
      </c>
    </row>
    <row r="29" spans="2:10" x14ac:dyDescent="0.35">
      <c r="B29" s="37">
        <v>15</v>
      </c>
      <c r="C29" s="76">
        <f t="shared" si="0"/>
        <v>773.32791216549947</v>
      </c>
      <c r="D29" s="76">
        <f t="shared" si="1"/>
        <v>584.85877782372722</v>
      </c>
      <c r="E29" s="76">
        <f t="shared" si="2"/>
        <v>188.46913434177225</v>
      </c>
      <c r="F29" s="77">
        <f>$C$6-SUM($E$15:E29)</f>
        <v>97287.993836279449</v>
      </c>
    </row>
    <row r="30" spans="2:10" x14ac:dyDescent="0.35">
      <c r="B30" s="37">
        <v>16</v>
      </c>
      <c r="C30" s="76">
        <f t="shared" si="0"/>
        <v>773.32791216549947</v>
      </c>
      <c r="D30" s="76">
        <f t="shared" si="1"/>
        <v>583.72796301767664</v>
      </c>
      <c r="E30" s="76">
        <f t="shared" si="2"/>
        <v>189.59994914782283</v>
      </c>
      <c r="F30" s="77">
        <f>$C$6-SUM($E$15:E30)</f>
        <v>97098.39388713162</v>
      </c>
      <c r="I30" t="s">
        <v>45</v>
      </c>
      <c r="J30" s="1" t="s">
        <v>46</v>
      </c>
    </row>
    <row r="31" spans="2:10" x14ac:dyDescent="0.35">
      <c r="B31" s="37">
        <v>17</v>
      </c>
      <c r="C31" s="76">
        <f t="shared" si="0"/>
        <v>773.32791216549947</v>
      </c>
      <c r="D31" s="76">
        <f t="shared" si="1"/>
        <v>582.5903633227897</v>
      </c>
      <c r="E31" s="76">
        <f t="shared" si="2"/>
        <v>190.73754884270977</v>
      </c>
      <c r="F31" s="77">
        <f>$C$6-SUM($E$15:E31)</f>
        <v>96907.656338288914</v>
      </c>
    </row>
    <row r="32" spans="2:10" x14ac:dyDescent="0.35">
      <c r="B32" s="37">
        <v>18</v>
      </c>
      <c r="C32" s="76">
        <f t="shared" si="0"/>
        <v>773.32791216549947</v>
      </c>
      <c r="D32" s="76">
        <f t="shared" si="1"/>
        <v>581.4459380297335</v>
      </c>
      <c r="E32" s="76">
        <f t="shared" si="2"/>
        <v>191.88197413576597</v>
      </c>
      <c r="F32" s="77">
        <f>$C$6-SUM($E$15:E32)</f>
        <v>96715.774364153156</v>
      </c>
    </row>
    <row r="33" spans="2:6" x14ac:dyDescent="0.35">
      <c r="B33" s="37">
        <v>19</v>
      </c>
      <c r="C33" s="76">
        <f t="shared" si="0"/>
        <v>773.32791216549947</v>
      </c>
      <c r="D33" s="76">
        <f t="shared" si="1"/>
        <v>580.29464618491897</v>
      </c>
      <c r="E33" s="76">
        <f t="shared" si="2"/>
        <v>193.0332659805805</v>
      </c>
      <c r="F33" s="77">
        <f>$C$6-SUM($E$15:E33)</f>
        <v>96522.74109817257</v>
      </c>
    </row>
    <row r="34" spans="2:6" x14ac:dyDescent="0.35">
      <c r="B34" s="37">
        <v>20</v>
      </c>
      <c r="C34" s="76">
        <f t="shared" si="0"/>
        <v>773.32791216549947</v>
      </c>
      <c r="D34" s="76">
        <f t="shared" si="1"/>
        <v>579.13644658903536</v>
      </c>
      <c r="E34" s="76">
        <f t="shared" si="2"/>
        <v>194.19146557646411</v>
      </c>
      <c r="F34" s="77">
        <f>$C$6-SUM($E$15:E34)</f>
        <v>96328.549632596099</v>
      </c>
    </row>
    <row r="35" spans="2:6" x14ac:dyDescent="0.35">
      <c r="B35" s="37">
        <v>21</v>
      </c>
      <c r="C35" s="76">
        <f t="shared" si="0"/>
        <v>773.32791216549947</v>
      </c>
      <c r="D35" s="76">
        <f t="shared" si="1"/>
        <v>577.97129779557656</v>
      </c>
      <c r="E35" s="76">
        <f t="shared" si="2"/>
        <v>195.35661436992291</v>
      </c>
      <c r="F35" s="77">
        <f>$C$6-SUM($E$15:E35)</f>
        <v>96133.193018226186</v>
      </c>
    </row>
    <row r="36" spans="2:6" x14ac:dyDescent="0.35">
      <c r="B36" s="37">
        <v>22</v>
      </c>
      <c r="C36" s="76">
        <f t="shared" si="0"/>
        <v>773.32791216549947</v>
      </c>
      <c r="D36" s="76">
        <f t="shared" si="1"/>
        <v>576.79915810935711</v>
      </c>
      <c r="E36" s="76">
        <f t="shared" si="2"/>
        <v>196.52875405614236</v>
      </c>
      <c r="F36" s="77">
        <f>$C$6-SUM($E$15:E36)</f>
        <v>95936.664264170045</v>
      </c>
    </row>
    <row r="37" spans="2:6" x14ac:dyDescent="0.35">
      <c r="B37" s="37">
        <v>23</v>
      </c>
      <c r="C37" s="76">
        <f t="shared" si="0"/>
        <v>773.32791216549947</v>
      </c>
      <c r="D37" s="76">
        <f t="shared" si="1"/>
        <v>575.61998558502023</v>
      </c>
      <c r="E37" s="76">
        <f t="shared" si="2"/>
        <v>197.70792658047924</v>
      </c>
      <c r="F37" s="77">
        <f>$C$6-SUM($E$15:E37)</f>
        <v>95738.956337589567</v>
      </c>
    </row>
    <row r="38" spans="2:6" x14ac:dyDescent="0.35">
      <c r="B38" s="37">
        <v>24</v>
      </c>
      <c r="C38" s="76">
        <f t="shared" si="0"/>
        <v>773.32791216549947</v>
      </c>
      <c r="D38" s="76">
        <f t="shared" si="1"/>
        <v>574.43373802553742</v>
      </c>
      <c r="E38" s="76">
        <f t="shared" si="2"/>
        <v>198.89417413996205</v>
      </c>
      <c r="F38" s="77">
        <f>$C$6-SUM($E$15:E38)</f>
        <v>95540.062163449591</v>
      </c>
    </row>
    <row r="39" spans="2:6" x14ac:dyDescent="0.35">
      <c r="B39" s="37">
        <v>25</v>
      </c>
      <c r="C39" s="76">
        <f t="shared" si="0"/>
        <v>773.32791216549947</v>
      </c>
      <c r="D39" s="76">
        <f t="shared" si="1"/>
        <v>573.24037298069754</v>
      </c>
      <c r="E39" s="76">
        <f t="shared" si="2"/>
        <v>200.08753918480193</v>
      </c>
      <c r="F39" s="77">
        <f>$C$6-SUM($E$15:E39)</f>
        <v>95339.974624264796</v>
      </c>
    </row>
    <row r="40" spans="2:6" x14ac:dyDescent="0.35">
      <c r="B40" s="37">
        <v>26</v>
      </c>
      <c r="C40" s="76">
        <f t="shared" si="0"/>
        <v>773.32791216549947</v>
      </c>
      <c r="D40" s="76">
        <f t="shared" si="1"/>
        <v>572.03984774558876</v>
      </c>
      <c r="E40" s="76">
        <f t="shared" si="2"/>
        <v>201.28806441991071</v>
      </c>
      <c r="F40" s="77">
        <f>$C$6-SUM($E$15:E40)</f>
        <v>95138.686559844879</v>
      </c>
    </row>
    <row r="41" spans="2:6" x14ac:dyDescent="0.35">
      <c r="B41" s="37">
        <v>27</v>
      </c>
      <c r="C41" s="76">
        <f t="shared" si="0"/>
        <v>773.32791216549947</v>
      </c>
      <c r="D41" s="76">
        <f t="shared" si="1"/>
        <v>570.83211935906934</v>
      </c>
      <c r="E41" s="76">
        <f t="shared" si="2"/>
        <v>202.49579280643013</v>
      </c>
      <c r="F41" s="77">
        <f>$C$6-SUM($E$15:E41)</f>
        <v>94936.190767038453</v>
      </c>
    </row>
    <row r="42" spans="2:6" x14ac:dyDescent="0.35">
      <c r="B42" s="37">
        <v>28</v>
      </c>
      <c r="C42" s="76">
        <f t="shared" si="0"/>
        <v>773.32791216549947</v>
      </c>
      <c r="D42" s="76">
        <f t="shared" si="1"/>
        <v>569.61714460223061</v>
      </c>
      <c r="E42" s="76">
        <f t="shared" si="2"/>
        <v>203.71076756326886</v>
      </c>
      <c r="F42" s="77">
        <f>$C$6-SUM($E$15:E42)</f>
        <v>94732.479999475181</v>
      </c>
    </row>
    <row r="43" spans="2:6" x14ac:dyDescent="0.35">
      <c r="B43" s="37">
        <v>29</v>
      </c>
      <c r="C43" s="76">
        <f t="shared" si="0"/>
        <v>773.32791216549947</v>
      </c>
      <c r="D43" s="76">
        <f t="shared" si="1"/>
        <v>568.39487999685105</v>
      </c>
      <c r="E43" s="76">
        <f t="shared" si="2"/>
        <v>204.93303216864842</v>
      </c>
      <c r="F43" s="77">
        <f>$C$6-SUM($E$15:E43)</f>
        <v>94527.546967306538</v>
      </c>
    </row>
    <row r="44" spans="2:6" x14ac:dyDescent="0.35">
      <c r="B44" s="37">
        <v>30</v>
      </c>
      <c r="C44" s="76">
        <f t="shared" si="0"/>
        <v>773.32791216549947</v>
      </c>
      <c r="D44" s="76">
        <f t="shared" si="1"/>
        <v>567.16528180383921</v>
      </c>
      <c r="E44" s="76">
        <f t="shared" si="2"/>
        <v>206.16263036166026</v>
      </c>
      <c r="F44" s="77">
        <f>$C$6-SUM($E$15:E44)</f>
        <v>94321.384336944873</v>
      </c>
    </row>
    <row r="45" spans="2:6" x14ac:dyDescent="0.35">
      <c r="B45" s="37">
        <v>31</v>
      </c>
      <c r="C45" s="76">
        <f t="shared" si="0"/>
        <v>773.32791216549947</v>
      </c>
      <c r="D45" s="76">
        <f t="shared" si="1"/>
        <v>565.92830602166919</v>
      </c>
      <c r="E45" s="76">
        <f t="shared" si="2"/>
        <v>207.39960614383028</v>
      </c>
      <c r="F45" s="77">
        <f>$C$6-SUM($E$15:E45)</f>
        <v>94113.98473080105</v>
      </c>
    </row>
    <row r="46" spans="2:6" x14ac:dyDescent="0.35">
      <c r="B46" s="37">
        <v>32</v>
      </c>
      <c r="C46" s="76">
        <f t="shared" si="0"/>
        <v>773.32791216549947</v>
      </c>
      <c r="D46" s="76">
        <f t="shared" si="1"/>
        <v>564.68390838480627</v>
      </c>
      <c r="E46" s="76">
        <f t="shared" si="2"/>
        <v>208.6440037806932</v>
      </c>
      <c r="F46" s="77">
        <f>$C$6-SUM($E$15:E46)</f>
        <v>93905.340727020361</v>
      </c>
    </row>
    <row r="47" spans="2:6" x14ac:dyDescent="0.35">
      <c r="B47" s="37">
        <v>33</v>
      </c>
      <c r="C47" s="76">
        <f t="shared" si="0"/>
        <v>773.32791216549947</v>
      </c>
      <c r="D47" s="76">
        <f t="shared" si="1"/>
        <v>563.43204436212216</v>
      </c>
      <c r="E47" s="76">
        <f t="shared" si="2"/>
        <v>209.89586780337731</v>
      </c>
      <c r="F47" s="77">
        <f>$C$6-SUM($E$15:E47)</f>
        <v>93695.444859216979</v>
      </c>
    </row>
    <row r="48" spans="2:6" x14ac:dyDescent="0.35">
      <c r="B48" s="37">
        <v>34</v>
      </c>
      <c r="C48" s="76">
        <f t="shared" si="0"/>
        <v>773.32791216549947</v>
      </c>
      <c r="D48" s="76">
        <f t="shared" si="1"/>
        <v>562.17266915530183</v>
      </c>
      <c r="E48" s="76">
        <f t="shared" si="2"/>
        <v>211.15524301019764</v>
      </c>
      <c r="F48" s="77">
        <f>$C$6-SUM($E$15:E48)</f>
        <v>93484.289616206777</v>
      </c>
    </row>
    <row r="49" spans="2:6" x14ac:dyDescent="0.35">
      <c r="B49" s="37">
        <v>35</v>
      </c>
      <c r="C49" s="76">
        <f t="shared" si="0"/>
        <v>773.32791216549947</v>
      </c>
      <c r="D49" s="76">
        <f t="shared" si="1"/>
        <v>560.90573769724062</v>
      </c>
      <c r="E49" s="76">
        <f t="shared" si="2"/>
        <v>212.42217446825885</v>
      </c>
      <c r="F49" s="77">
        <f>$C$6-SUM($E$15:E49)</f>
        <v>93271.867441738519</v>
      </c>
    </row>
    <row r="50" spans="2:6" x14ac:dyDescent="0.35">
      <c r="B50" s="37">
        <v>36</v>
      </c>
      <c r="C50" s="76">
        <f t="shared" si="0"/>
        <v>773.32791216549947</v>
      </c>
      <c r="D50" s="76">
        <f t="shared" si="1"/>
        <v>559.63120465043107</v>
      </c>
      <c r="E50" s="76">
        <f t="shared" si="2"/>
        <v>213.6967075150684</v>
      </c>
      <c r="F50" s="77">
        <f>$C$6-SUM($E$15:E50)</f>
        <v>93058.170734223459</v>
      </c>
    </row>
    <row r="51" spans="2:6" x14ac:dyDescent="0.35">
      <c r="B51" s="37">
        <v>37</v>
      </c>
      <c r="C51" s="76">
        <f t="shared" si="0"/>
        <v>773.32791216549947</v>
      </c>
      <c r="D51" s="76">
        <f t="shared" si="1"/>
        <v>558.34902440534074</v>
      </c>
      <c r="E51" s="76">
        <f t="shared" si="2"/>
        <v>214.97888776015873</v>
      </c>
      <c r="F51" s="77">
        <f>$C$6-SUM($E$15:E51)</f>
        <v>92843.191846463291</v>
      </c>
    </row>
    <row r="52" spans="2:6" x14ac:dyDescent="0.35">
      <c r="B52" s="37">
        <v>38</v>
      </c>
      <c r="C52" s="76">
        <f t="shared" si="0"/>
        <v>773.32791216549947</v>
      </c>
      <c r="D52" s="76">
        <f t="shared" si="1"/>
        <v>557.05915107877968</v>
      </c>
      <c r="E52" s="76">
        <f t="shared" si="2"/>
        <v>216.26876108671979</v>
      </c>
      <c r="F52" s="77">
        <f>$C$6-SUM($E$15:E52)</f>
        <v>92626.923085376577</v>
      </c>
    </row>
    <row r="53" spans="2:6" x14ac:dyDescent="0.35">
      <c r="B53" s="37">
        <v>39</v>
      </c>
      <c r="C53" s="76">
        <f t="shared" si="0"/>
        <v>773.32791216549947</v>
      </c>
      <c r="D53" s="76">
        <f t="shared" si="1"/>
        <v>555.76153851225945</v>
      </c>
      <c r="E53" s="76">
        <f t="shared" si="2"/>
        <v>217.56637365324002</v>
      </c>
      <c r="F53" s="77">
        <f>$C$6-SUM($E$15:E53)</f>
        <v>92409.356711723332</v>
      </c>
    </row>
    <row r="54" spans="2:6" x14ac:dyDescent="0.35">
      <c r="B54" s="37">
        <v>40</v>
      </c>
      <c r="C54" s="76">
        <f t="shared" si="0"/>
        <v>773.32791216549947</v>
      </c>
      <c r="D54" s="76">
        <f t="shared" si="1"/>
        <v>554.45614027034003</v>
      </c>
      <c r="E54" s="76">
        <f t="shared" si="2"/>
        <v>218.87177189515944</v>
      </c>
      <c r="F54" s="77">
        <f>$C$6-SUM($E$15:E54)</f>
        <v>92190.48493982818</v>
      </c>
    </row>
    <row r="55" spans="2:6" x14ac:dyDescent="0.35">
      <c r="B55" s="37">
        <v>41</v>
      </c>
      <c r="C55" s="76">
        <f t="shared" si="0"/>
        <v>773.32791216549947</v>
      </c>
      <c r="D55" s="76">
        <f t="shared" si="1"/>
        <v>553.14290963896906</v>
      </c>
      <c r="E55" s="76">
        <f t="shared" si="2"/>
        <v>220.18500252653041</v>
      </c>
      <c r="F55" s="77">
        <f>$C$6-SUM($E$15:E55)</f>
        <v>91970.29993730165</v>
      </c>
    </row>
    <row r="56" spans="2:6" x14ac:dyDescent="0.35">
      <c r="B56" s="37">
        <v>42</v>
      </c>
      <c r="C56" s="76">
        <f t="shared" si="0"/>
        <v>773.32791216549947</v>
      </c>
      <c r="D56" s="76">
        <f t="shared" si="1"/>
        <v>551.82179962380985</v>
      </c>
      <c r="E56" s="76">
        <f t="shared" si="2"/>
        <v>221.50611254168962</v>
      </c>
      <c r="F56" s="77">
        <f>$C$6-SUM($E$15:E56)</f>
        <v>91748.793824759952</v>
      </c>
    </row>
    <row r="57" spans="2:6" x14ac:dyDescent="0.35">
      <c r="B57" s="37">
        <v>43</v>
      </c>
      <c r="C57" s="76">
        <f t="shared" si="0"/>
        <v>773.32791216549947</v>
      </c>
      <c r="D57" s="76">
        <f t="shared" si="1"/>
        <v>550.49276294855974</v>
      </c>
      <c r="E57" s="76">
        <f t="shared" si="2"/>
        <v>222.83514921693973</v>
      </c>
      <c r="F57" s="77">
        <f>$C$6-SUM($E$15:E57)</f>
        <v>91525.958675543021</v>
      </c>
    </row>
    <row r="58" spans="2:6" x14ac:dyDescent="0.35">
      <c r="B58" s="37">
        <v>44</v>
      </c>
      <c r="C58" s="76">
        <f t="shared" si="0"/>
        <v>773.32791216549947</v>
      </c>
      <c r="D58" s="76">
        <f t="shared" si="1"/>
        <v>549.15575205325808</v>
      </c>
      <c r="E58" s="76">
        <f t="shared" si="2"/>
        <v>224.17216011224139</v>
      </c>
      <c r="F58" s="77">
        <f>$C$6-SUM($E$15:E58)</f>
        <v>91301.78651543078</v>
      </c>
    </row>
    <row r="59" spans="2:6" x14ac:dyDescent="0.35">
      <c r="B59" s="37">
        <v>45</v>
      </c>
      <c r="C59" s="76">
        <f t="shared" si="0"/>
        <v>773.32791216549947</v>
      </c>
      <c r="D59" s="76">
        <f t="shared" si="1"/>
        <v>547.81071909258458</v>
      </c>
      <c r="E59" s="76">
        <f t="shared" si="2"/>
        <v>225.51719307291489</v>
      </c>
      <c r="F59" s="77">
        <f>$C$6-SUM($E$15:E59)</f>
        <v>91076.269322357854</v>
      </c>
    </row>
    <row r="60" spans="2:6" x14ac:dyDescent="0.35">
      <c r="B60" s="37">
        <v>46</v>
      </c>
      <c r="C60" s="76">
        <f t="shared" si="0"/>
        <v>773.32791216549947</v>
      </c>
      <c r="D60" s="76">
        <f t="shared" si="1"/>
        <v>546.45761593414704</v>
      </c>
      <c r="E60" s="76">
        <f t="shared" si="2"/>
        <v>226.87029623135243</v>
      </c>
      <c r="F60" s="77">
        <f>$C$6-SUM($E$15:E60)</f>
        <v>90849.399026126513</v>
      </c>
    </row>
    <row r="61" spans="2:6" x14ac:dyDescent="0.35">
      <c r="B61" s="37">
        <v>47</v>
      </c>
      <c r="C61" s="76">
        <f t="shared" si="0"/>
        <v>773.32791216549947</v>
      </c>
      <c r="D61" s="76">
        <f t="shared" si="1"/>
        <v>545.09639415675906</v>
      </c>
      <c r="E61" s="76">
        <f t="shared" si="2"/>
        <v>228.23151800874041</v>
      </c>
      <c r="F61" s="77">
        <f>$C$6-SUM($E$15:E61)</f>
        <v>90621.167508117767</v>
      </c>
    </row>
    <row r="62" spans="2:6" x14ac:dyDescent="0.35">
      <c r="B62" s="37">
        <v>48</v>
      </c>
      <c r="C62" s="76">
        <f t="shared" si="0"/>
        <v>773.32791216549947</v>
      </c>
      <c r="D62" s="76">
        <f t="shared" si="1"/>
        <v>543.72700504870659</v>
      </c>
      <c r="E62" s="76">
        <f t="shared" si="2"/>
        <v>229.60090711679288</v>
      </c>
      <c r="F62" s="77">
        <f>$C$6-SUM($E$15:E62)</f>
        <v>90391.566601000974</v>
      </c>
    </row>
    <row r="63" spans="2:6" x14ac:dyDescent="0.35">
      <c r="B63" s="37">
        <v>49</v>
      </c>
      <c r="C63" s="76">
        <f t="shared" si="0"/>
        <v>773.32791216549947</v>
      </c>
      <c r="D63" s="76">
        <f t="shared" si="1"/>
        <v>542.34939960600582</v>
      </c>
      <c r="E63" s="76">
        <f t="shared" si="2"/>
        <v>230.97851255949365</v>
      </c>
      <c r="F63" s="77">
        <f>$C$6-SUM($E$15:E63)</f>
        <v>90160.58808844148</v>
      </c>
    </row>
    <row r="64" spans="2:6" x14ac:dyDescent="0.35">
      <c r="B64" s="37">
        <v>50</v>
      </c>
      <c r="C64" s="76">
        <f t="shared" si="0"/>
        <v>773.32791216549947</v>
      </c>
      <c r="D64" s="76">
        <f t="shared" si="1"/>
        <v>540.96352853064877</v>
      </c>
      <c r="E64" s="76">
        <f t="shared" si="2"/>
        <v>232.3643836348507</v>
      </c>
      <c r="F64" s="77">
        <f>$C$6-SUM($E$15:E64)</f>
        <v>89928.223704806631</v>
      </c>
    </row>
    <row r="65" spans="2:6" x14ac:dyDescent="0.35">
      <c r="B65" s="37">
        <v>51</v>
      </c>
      <c r="C65" s="76">
        <f t="shared" si="0"/>
        <v>773.32791216549947</v>
      </c>
      <c r="D65" s="76">
        <f t="shared" si="1"/>
        <v>539.56934222883979</v>
      </c>
      <c r="E65" s="76">
        <f t="shared" si="2"/>
        <v>233.75856993665968</v>
      </c>
      <c r="F65" s="77">
        <f>$C$6-SUM($E$15:E65)</f>
        <v>89694.46513486997</v>
      </c>
    </row>
    <row r="66" spans="2:6" x14ac:dyDescent="0.35">
      <c r="B66" s="37">
        <v>52</v>
      </c>
      <c r="C66" s="76">
        <f t="shared" si="0"/>
        <v>773.32791216549947</v>
      </c>
      <c r="D66" s="76">
        <f t="shared" si="1"/>
        <v>538.16679080921972</v>
      </c>
      <c r="E66" s="76">
        <f t="shared" si="2"/>
        <v>235.16112135627975</v>
      </c>
      <c r="F66" s="77">
        <f>$C$6-SUM($E$15:E66)</f>
        <v>89459.304013513683</v>
      </c>
    </row>
    <row r="67" spans="2:6" x14ac:dyDescent="0.35">
      <c r="B67" s="37">
        <v>53</v>
      </c>
      <c r="C67" s="76">
        <f t="shared" si="0"/>
        <v>773.32791216549947</v>
      </c>
      <c r="D67" s="76">
        <f t="shared" si="1"/>
        <v>536.7558240810821</v>
      </c>
      <c r="E67" s="76">
        <f t="shared" si="2"/>
        <v>236.57208808441737</v>
      </c>
      <c r="F67" s="77">
        <f>$C$6-SUM($E$15:E67)</f>
        <v>89222.731925429267</v>
      </c>
    </row>
    <row r="68" spans="2:6" x14ac:dyDescent="0.35">
      <c r="B68" s="37">
        <v>54</v>
      </c>
      <c r="C68" s="76">
        <f t="shared" si="0"/>
        <v>773.32791216549947</v>
      </c>
      <c r="D68" s="76">
        <f t="shared" si="1"/>
        <v>535.33639155257561</v>
      </c>
      <c r="E68" s="76">
        <f t="shared" si="2"/>
        <v>237.99152061292386</v>
      </c>
      <c r="F68" s="77">
        <f>$C$6-SUM($E$15:E68)</f>
        <v>88984.740404816344</v>
      </c>
    </row>
    <row r="69" spans="2:6" x14ac:dyDescent="0.35">
      <c r="B69" s="37">
        <v>55</v>
      </c>
      <c r="C69" s="76">
        <f t="shared" si="0"/>
        <v>773.32791216549947</v>
      </c>
      <c r="D69" s="76">
        <f t="shared" si="1"/>
        <v>533.90844242889807</v>
      </c>
      <c r="E69" s="76">
        <f t="shared" si="2"/>
        <v>239.4194697366014</v>
      </c>
      <c r="F69" s="77">
        <f>$C$6-SUM($E$15:E69)</f>
        <v>88745.320935079741</v>
      </c>
    </row>
    <row r="70" spans="2:6" x14ac:dyDescent="0.35">
      <c r="B70" s="37">
        <v>56</v>
      </c>
      <c r="C70" s="76">
        <f t="shared" si="0"/>
        <v>773.32791216549947</v>
      </c>
      <c r="D70" s="76">
        <f t="shared" si="1"/>
        <v>532.47192561047837</v>
      </c>
      <c r="E70" s="76">
        <f t="shared" si="2"/>
        <v>240.8559865550211</v>
      </c>
      <c r="F70" s="77">
        <f>$C$6-SUM($E$15:E70)</f>
        <v>88504.464948524721</v>
      </c>
    </row>
    <row r="71" spans="2:6" x14ac:dyDescent="0.35">
      <c r="B71" s="37">
        <v>57</v>
      </c>
      <c r="C71" s="76">
        <f t="shared" si="0"/>
        <v>773.32791216549947</v>
      </c>
      <c r="D71" s="76">
        <f t="shared" si="1"/>
        <v>531.02678969114834</v>
      </c>
      <c r="E71" s="76">
        <f t="shared" si="2"/>
        <v>242.30112247435113</v>
      </c>
      <c r="F71" s="77">
        <f>$C$6-SUM($E$15:E71)</f>
        <v>88262.163826050368</v>
      </c>
    </row>
    <row r="72" spans="2:6" x14ac:dyDescent="0.35">
      <c r="B72" s="37">
        <v>58</v>
      </c>
      <c r="C72" s="76">
        <f t="shared" si="0"/>
        <v>773.32791216549947</v>
      </c>
      <c r="D72" s="76">
        <f t="shared" si="1"/>
        <v>529.57298295630221</v>
      </c>
      <c r="E72" s="76">
        <f t="shared" si="2"/>
        <v>243.75492920919726</v>
      </c>
      <c r="F72" s="77">
        <f>$C$6-SUM($E$15:E72)</f>
        <v>88018.408896841167</v>
      </c>
    </row>
    <row r="73" spans="2:6" x14ac:dyDescent="0.35">
      <c r="B73" s="37">
        <v>59</v>
      </c>
      <c r="C73" s="76">
        <f t="shared" si="0"/>
        <v>773.32791216549947</v>
      </c>
      <c r="D73" s="76">
        <f t="shared" si="1"/>
        <v>528.11045338104691</v>
      </c>
      <c r="E73" s="76">
        <f t="shared" si="2"/>
        <v>245.21745878445256</v>
      </c>
      <c r="F73" s="77">
        <f>$C$6-SUM($E$15:E73)</f>
        <v>87773.191438056718</v>
      </c>
    </row>
    <row r="74" spans="2:6" x14ac:dyDescent="0.35">
      <c r="B74" s="37">
        <v>60</v>
      </c>
      <c r="C74" s="76">
        <f t="shared" si="0"/>
        <v>773.32791216549947</v>
      </c>
      <c r="D74" s="76">
        <f t="shared" si="1"/>
        <v>526.63914862834031</v>
      </c>
      <c r="E74" s="76">
        <f t="shared" si="2"/>
        <v>246.68876353715916</v>
      </c>
      <c r="F74" s="77">
        <f>$C$6-SUM($E$15:E74)</f>
        <v>87526.502674519565</v>
      </c>
    </row>
    <row r="75" spans="2:6" x14ac:dyDescent="0.35">
      <c r="B75" s="37">
        <v>61</v>
      </c>
      <c r="C75" s="76">
        <f t="shared" si="0"/>
        <v>773.32791216549947</v>
      </c>
      <c r="D75" s="76">
        <f t="shared" si="1"/>
        <v>525.15901604711735</v>
      </c>
      <c r="E75" s="76">
        <f t="shared" si="2"/>
        <v>248.16889611838212</v>
      </c>
      <c r="F75" s="77">
        <f>$C$6-SUM($E$15:E75)</f>
        <v>87278.333778401182</v>
      </c>
    </row>
    <row r="76" spans="2:6" x14ac:dyDescent="0.35">
      <c r="B76" s="37">
        <v>62</v>
      </c>
      <c r="C76" s="76">
        <f t="shared" si="0"/>
        <v>773.32791216549947</v>
      </c>
      <c r="D76" s="76">
        <f t="shared" si="1"/>
        <v>523.67000267040703</v>
      </c>
      <c r="E76" s="76">
        <f t="shared" si="2"/>
        <v>249.65790949509244</v>
      </c>
      <c r="F76" s="77">
        <f>$C$6-SUM($E$15:E76)</f>
        <v>87028.675868906081</v>
      </c>
    </row>
    <row r="77" spans="2:6" x14ac:dyDescent="0.35">
      <c r="B77" s="37">
        <v>63</v>
      </c>
      <c r="C77" s="76">
        <f t="shared" si="0"/>
        <v>773.32791216549947</v>
      </c>
      <c r="D77" s="76">
        <f t="shared" si="1"/>
        <v>522.17205521343647</v>
      </c>
      <c r="E77" s="76">
        <f t="shared" si="2"/>
        <v>251.155856952063</v>
      </c>
      <c r="F77" s="77">
        <f>$C$6-SUM($E$15:E77)</f>
        <v>86777.520011954024</v>
      </c>
    </row>
    <row r="78" spans="2:6" x14ac:dyDescent="0.35">
      <c r="B78" s="37">
        <v>64</v>
      </c>
      <c r="C78" s="76">
        <f t="shared" si="0"/>
        <v>773.32791216549947</v>
      </c>
      <c r="D78" s="76">
        <f t="shared" si="1"/>
        <v>520.66512007172412</v>
      </c>
      <c r="E78" s="76">
        <f t="shared" si="2"/>
        <v>252.66279209377535</v>
      </c>
      <c r="F78" s="77">
        <f>$C$6-SUM($E$15:E78)</f>
        <v>86524.857219860249</v>
      </c>
    </row>
    <row r="79" spans="2:6" x14ac:dyDescent="0.35">
      <c r="B79" s="37">
        <v>65</v>
      </c>
      <c r="C79" s="76">
        <f t="shared" si="0"/>
        <v>773.32791216549947</v>
      </c>
      <c r="D79" s="76">
        <f t="shared" si="1"/>
        <v>519.14914331916145</v>
      </c>
      <c r="E79" s="76">
        <f t="shared" si="2"/>
        <v>254.17876884633802</v>
      </c>
      <c r="F79" s="77">
        <f>$C$6-SUM($E$15:E79)</f>
        <v>86270.678451013911</v>
      </c>
    </row>
    <row r="80" spans="2:6" x14ac:dyDescent="0.35">
      <c r="B80" s="37">
        <v>66</v>
      </c>
      <c r="C80" s="76">
        <f t="shared" ref="C80:C143" si="3">$C$11</f>
        <v>773.32791216549947</v>
      </c>
      <c r="D80" s="76">
        <f t="shared" si="1"/>
        <v>517.62407070608344</v>
      </c>
      <c r="E80" s="76">
        <f t="shared" si="2"/>
        <v>255.70384145941603</v>
      </c>
      <c r="F80" s="77">
        <f>$C$6-SUM($E$15:E80)</f>
        <v>86014.974609554498</v>
      </c>
    </row>
    <row r="81" spans="2:6" x14ac:dyDescent="0.35">
      <c r="B81" s="37">
        <v>67</v>
      </c>
      <c r="C81" s="76">
        <f t="shared" si="3"/>
        <v>773.32791216549947</v>
      </c>
      <c r="D81" s="76">
        <f t="shared" ref="D81:D144" si="4">F80*$C$7/$C$9</f>
        <v>516.08984765732691</v>
      </c>
      <c r="E81" s="76">
        <f t="shared" ref="E81:E144" si="5">C81-D81</f>
        <v>257.23806450817256</v>
      </c>
      <c r="F81" s="77">
        <f>$C$6-SUM($E$15:E81)</f>
        <v>85757.736545046326</v>
      </c>
    </row>
    <row r="82" spans="2:6" x14ac:dyDescent="0.35">
      <c r="B82" s="37">
        <v>68</v>
      </c>
      <c r="C82" s="76">
        <f t="shared" si="3"/>
        <v>773.32791216549947</v>
      </c>
      <c r="D82" s="76">
        <f t="shared" si="4"/>
        <v>514.54641927027797</v>
      </c>
      <c r="E82" s="76">
        <f t="shared" si="5"/>
        <v>258.7814928952215</v>
      </c>
      <c r="F82" s="77">
        <f>$C$6-SUM($E$15:E82)</f>
        <v>85498.955052151097</v>
      </c>
    </row>
    <row r="83" spans="2:6" x14ac:dyDescent="0.35">
      <c r="B83" s="37">
        <v>69</v>
      </c>
      <c r="C83" s="76">
        <f t="shared" si="3"/>
        <v>773.32791216549947</v>
      </c>
      <c r="D83" s="76">
        <f t="shared" si="4"/>
        <v>512.99373031290656</v>
      </c>
      <c r="E83" s="76">
        <f t="shared" si="5"/>
        <v>260.33418185259291</v>
      </c>
      <c r="F83" s="77">
        <f>$C$6-SUM($E$15:E83)</f>
        <v>85238.620870298502</v>
      </c>
    </row>
    <row r="84" spans="2:6" x14ac:dyDescent="0.35">
      <c r="B84" s="37">
        <v>70</v>
      </c>
      <c r="C84" s="76">
        <f t="shared" si="3"/>
        <v>773.32791216549947</v>
      </c>
      <c r="D84" s="76">
        <f t="shared" si="4"/>
        <v>511.431725221791</v>
      </c>
      <c r="E84" s="76">
        <f t="shared" si="5"/>
        <v>261.89618694370847</v>
      </c>
      <c r="F84" s="77">
        <f>$C$6-SUM($E$15:E84)</f>
        <v>84976.724683354798</v>
      </c>
    </row>
    <row r="85" spans="2:6" x14ac:dyDescent="0.35">
      <c r="B85" s="37">
        <v>71</v>
      </c>
      <c r="C85" s="76">
        <f t="shared" si="3"/>
        <v>773.32791216549947</v>
      </c>
      <c r="D85" s="76">
        <f t="shared" si="4"/>
        <v>509.86034810012882</v>
      </c>
      <c r="E85" s="76">
        <f t="shared" si="5"/>
        <v>263.46756406537065</v>
      </c>
      <c r="F85" s="77">
        <f>$C$6-SUM($E$15:E85)</f>
        <v>84713.257119289425</v>
      </c>
    </row>
    <row r="86" spans="2:6" x14ac:dyDescent="0.35">
      <c r="B86" s="37">
        <v>72</v>
      </c>
      <c r="C86" s="76">
        <f t="shared" si="3"/>
        <v>773.32791216549947</v>
      </c>
      <c r="D86" s="76">
        <f t="shared" si="4"/>
        <v>508.27954271573651</v>
      </c>
      <c r="E86" s="76">
        <f t="shared" si="5"/>
        <v>265.04836944976296</v>
      </c>
      <c r="F86" s="77">
        <f>$C$6-SUM($E$15:E86)</f>
        <v>84448.208749839672</v>
      </c>
    </row>
    <row r="87" spans="2:6" x14ac:dyDescent="0.35">
      <c r="B87" s="37">
        <v>73</v>
      </c>
      <c r="C87" s="76">
        <f t="shared" si="3"/>
        <v>773.32791216549947</v>
      </c>
      <c r="D87" s="76">
        <f t="shared" si="4"/>
        <v>506.68925249903805</v>
      </c>
      <c r="E87" s="76">
        <f t="shared" si="5"/>
        <v>266.63865966646142</v>
      </c>
      <c r="F87" s="77">
        <f>$C$6-SUM($E$15:E87)</f>
        <v>84181.570090173205</v>
      </c>
    </row>
    <row r="88" spans="2:6" x14ac:dyDescent="0.35">
      <c r="B88" s="37">
        <v>74</v>
      </c>
      <c r="C88" s="76">
        <f t="shared" si="3"/>
        <v>773.32791216549947</v>
      </c>
      <c r="D88" s="76">
        <f t="shared" si="4"/>
        <v>505.0894205410392</v>
      </c>
      <c r="E88" s="76">
        <f t="shared" si="5"/>
        <v>268.23849162446027</v>
      </c>
      <c r="F88" s="77">
        <f>$C$6-SUM($E$15:E88)</f>
        <v>83913.331598548742</v>
      </c>
    </row>
    <row r="89" spans="2:6" x14ac:dyDescent="0.35">
      <c r="B89" s="37">
        <v>75</v>
      </c>
      <c r="C89" s="76">
        <f t="shared" si="3"/>
        <v>773.32791216549947</v>
      </c>
      <c r="D89" s="76">
        <f t="shared" si="4"/>
        <v>503.47998959129245</v>
      </c>
      <c r="E89" s="76">
        <f t="shared" si="5"/>
        <v>269.84792257420702</v>
      </c>
      <c r="F89" s="77">
        <f>$C$6-SUM($E$15:E89)</f>
        <v>83643.483675974538</v>
      </c>
    </row>
    <row r="90" spans="2:6" x14ac:dyDescent="0.35">
      <c r="B90" s="37">
        <v>76</v>
      </c>
      <c r="C90" s="76">
        <f t="shared" si="3"/>
        <v>773.32791216549947</v>
      </c>
      <c r="D90" s="76">
        <f t="shared" si="4"/>
        <v>501.86090205584725</v>
      </c>
      <c r="E90" s="76">
        <f t="shared" si="5"/>
        <v>271.46701010965222</v>
      </c>
      <c r="F90" s="77">
        <f>$C$6-SUM($E$15:E90)</f>
        <v>83372.016665864881</v>
      </c>
    </row>
    <row r="91" spans="2:6" x14ac:dyDescent="0.35">
      <c r="B91" s="37">
        <v>77</v>
      </c>
      <c r="C91" s="76">
        <f t="shared" si="3"/>
        <v>773.32791216549947</v>
      </c>
      <c r="D91" s="76">
        <f t="shared" si="4"/>
        <v>500.23209999518929</v>
      </c>
      <c r="E91" s="76">
        <f t="shared" si="5"/>
        <v>273.09581217031018</v>
      </c>
      <c r="F91" s="77">
        <f>$C$6-SUM($E$15:E91)</f>
        <v>83098.920853694581</v>
      </c>
    </row>
    <row r="92" spans="2:6" x14ac:dyDescent="0.35">
      <c r="B92" s="37">
        <v>78</v>
      </c>
      <c r="C92" s="76">
        <f t="shared" si="3"/>
        <v>773.32791216549947</v>
      </c>
      <c r="D92" s="76">
        <f t="shared" si="4"/>
        <v>498.59352512216748</v>
      </c>
      <c r="E92" s="76">
        <f t="shared" si="5"/>
        <v>274.73438704333199</v>
      </c>
      <c r="F92" s="77">
        <f>$C$6-SUM($E$15:E92)</f>
        <v>82824.186466651241</v>
      </c>
    </row>
    <row r="93" spans="2:6" x14ac:dyDescent="0.35">
      <c r="B93" s="37">
        <v>79</v>
      </c>
      <c r="C93" s="76">
        <f t="shared" si="3"/>
        <v>773.32791216549947</v>
      </c>
      <c r="D93" s="76">
        <f t="shared" si="4"/>
        <v>496.94511879990739</v>
      </c>
      <c r="E93" s="76">
        <f t="shared" si="5"/>
        <v>276.38279336559208</v>
      </c>
      <c r="F93" s="77">
        <f>$C$6-SUM($E$15:E93)</f>
        <v>82547.803673285642</v>
      </c>
    </row>
    <row r="94" spans="2:6" x14ac:dyDescent="0.35">
      <c r="B94" s="37">
        <v>80</v>
      </c>
      <c r="C94" s="76">
        <f t="shared" si="3"/>
        <v>773.32791216549947</v>
      </c>
      <c r="D94" s="76">
        <f t="shared" si="4"/>
        <v>495.28682203971385</v>
      </c>
      <c r="E94" s="76">
        <f t="shared" si="5"/>
        <v>278.04109012578562</v>
      </c>
      <c r="F94" s="77">
        <f>$C$6-SUM($E$15:E94)</f>
        <v>82269.762583159871</v>
      </c>
    </row>
    <row r="95" spans="2:6" x14ac:dyDescent="0.35">
      <c r="B95" s="37">
        <v>81</v>
      </c>
      <c r="C95" s="76">
        <f t="shared" si="3"/>
        <v>773.32791216549947</v>
      </c>
      <c r="D95" s="76">
        <f t="shared" si="4"/>
        <v>493.61857549895922</v>
      </c>
      <c r="E95" s="76">
        <f t="shared" si="5"/>
        <v>279.70933666654025</v>
      </c>
      <c r="F95" s="77">
        <f>$C$6-SUM($E$15:E95)</f>
        <v>81990.05324649332</v>
      </c>
    </row>
    <row r="96" spans="2:6" x14ac:dyDescent="0.35">
      <c r="B96" s="37">
        <v>82</v>
      </c>
      <c r="C96" s="76">
        <f t="shared" si="3"/>
        <v>773.32791216549947</v>
      </c>
      <c r="D96" s="76">
        <f t="shared" si="4"/>
        <v>491.94031947895991</v>
      </c>
      <c r="E96" s="76">
        <f t="shared" si="5"/>
        <v>281.38759268653956</v>
      </c>
      <c r="F96" s="77">
        <f>$C$6-SUM($E$15:E96)</f>
        <v>81708.665653806791</v>
      </c>
    </row>
    <row r="97" spans="2:6" x14ac:dyDescent="0.35">
      <c r="B97" s="37">
        <v>83</v>
      </c>
      <c r="C97" s="76">
        <f t="shared" si="3"/>
        <v>773.32791216549947</v>
      </c>
      <c r="D97" s="76">
        <f t="shared" si="4"/>
        <v>490.25199392284077</v>
      </c>
      <c r="E97" s="76">
        <f t="shared" si="5"/>
        <v>283.0759182426587</v>
      </c>
      <c r="F97" s="77">
        <f>$C$6-SUM($E$15:E97)</f>
        <v>81425.589735564121</v>
      </c>
    </row>
    <row r="98" spans="2:6" x14ac:dyDescent="0.35">
      <c r="B98" s="37">
        <v>84</v>
      </c>
      <c r="C98" s="76">
        <f t="shared" si="3"/>
        <v>773.32791216549947</v>
      </c>
      <c r="D98" s="76">
        <f t="shared" si="4"/>
        <v>488.55353841338473</v>
      </c>
      <c r="E98" s="76">
        <f t="shared" si="5"/>
        <v>284.77437375211474</v>
      </c>
      <c r="F98" s="77">
        <f>$C$6-SUM($E$15:E98)</f>
        <v>81140.815361812012</v>
      </c>
    </row>
    <row r="99" spans="2:6" x14ac:dyDescent="0.35">
      <c r="B99" s="37">
        <v>85</v>
      </c>
      <c r="C99" s="76">
        <f t="shared" si="3"/>
        <v>773.32791216549947</v>
      </c>
      <c r="D99" s="76">
        <f t="shared" si="4"/>
        <v>486.84489217087201</v>
      </c>
      <c r="E99" s="76">
        <f t="shared" si="5"/>
        <v>286.48301999462745</v>
      </c>
      <c r="F99" s="77">
        <f>$C$6-SUM($E$15:E99)</f>
        <v>80854.332341817382</v>
      </c>
    </row>
    <row r="100" spans="2:6" x14ac:dyDescent="0.35">
      <c r="B100" s="37">
        <v>86</v>
      </c>
      <c r="C100" s="76">
        <f t="shared" si="3"/>
        <v>773.32791216549947</v>
      </c>
      <c r="D100" s="76">
        <f t="shared" si="4"/>
        <v>485.1259940509043</v>
      </c>
      <c r="E100" s="76">
        <f t="shared" si="5"/>
        <v>288.20191811459517</v>
      </c>
      <c r="F100" s="77">
        <f>$C$6-SUM($E$15:E100)</f>
        <v>80566.130423702794</v>
      </c>
    </row>
    <row r="101" spans="2:6" x14ac:dyDescent="0.35">
      <c r="B101" s="37">
        <v>87</v>
      </c>
      <c r="C101" s="76">
        <f t="shared" si="3"/>
        <v>773.32791216549947</v>
      </c>
      <c r="D101" s="76">
        <f t="shared" si="4"/>
        <v>483.39678254221673</v>
      </c>
      <c r="E101" s="76">
        <f t="shared" si="5"/>
        <v>289.93112962328274</v>
      </c>
      <c r="F101" s="77">
        <f>$C$6-SUM($E$15:E101)</f>
        <v>80276.199294079503</v>
      </c>
    </row>
    <row r="102" spans="2:6" x14ac:dyDescent="0.35">
      <c r="B102" s="37">
        <v>88</v>
      </c>
      <c r="C102" s="76">
        <f t="shared" si="3"/>
        <v>773.32791216549947</v>
      </c>
      <c r="D102" s="76">
        <f t="shared" si="4"/>
        <v>481.65719576447702</v>
      </c>
      <c r="E102" s="76">
        <f t="shared" si="5"/>
        <v>291.67071640102245</v>
      </c>
      <c r="F102" s="77">
        <f>$C$6-SUM($E$15:E102)</f>
        <v>79984.528577678488</v>
      </c>
    </row>
    <row r="103" spans="2:6" x14ac:dyDescent="0.35">
      <c r="B103" s="37">
        <v>89</v>
      </c>
      <c r="C103" s="76">
        <f t="shared" si="3"/>
        <v>773.32791216549947</v>
      </c>
      <c r="D103" s="76">
        <f t="shared" si="4"/>
        <v>479.90717146607096</v>
      </c>
      <c r="E103" s="76">
        <f t="shared" si="5"/>
        <v>293.42074069942851</v>
      </c>
      <c r="F103" s="77">
        <f>$C$6-SUM($E$15:E103)</f>
        <v>79691.107836979048</v>
      </c>
    </row>
    <row r="104" spans="2:6" x14ac:dyDescent="0.35">
      <c r="B104" s="37">
        <v>90</v>
      </c>
      <c r="C104" s="76">
        <f t="shared" si="3"/>
        <v>773.32791216549947</v>
      </c>
      <c r="D104" s="76">
        <f t="shared" si="4"/>
        <v>478.14664702187429</v>
      </c>
      <c r="E104" s="76">
        <f t="shared" si="5"/>
        <v>295.18126514362518</v>
      </c>
      <c r="F104" s="77">
        <f>$C$6-SUM($E$15:E104)</f>
        <v>79395.926571835429</v>
      </c>
    </row>
    <row r="105" spans="2:6" x14ac:dyDescent="0.35">
      <c r="B105" s="37">
        <v>91</v>
      </c>
      <c r="C105" s="76">
        <f t="shared" si="3"/>
        <v>773.32791216549947</v>
      </c>
      <c r="D105" s="76">
        <f t="shared" si="4"/>
        <v>476.3755594310125</v>
      </c>
      <c r="E105" s="76">
        <f t="shared" si="5"/>
        <v>296.95235273448696</v>
      </c>
      <c r="F105" s="77">
        <f>$C$6-SUM($E$15:E105)</f>
        <v>79098.974219100943</v>
      </c>
    </row>
    <row r="106" spans="2:6" x14ac:dyDescent="0.35">
      <c r="B106" s="37">
        <v>92</v>
      </c>
      <c r="C106" s="76">
        <f t="shared" si="3"/>
        <v>773.32791216549947</v>
      </c>
      <c r="D106" s="76">
        <f t="shared" si="4"/>
        <v>474.59384531460563</v>
      </c>
      <c r="E106" s="76">
        <f t="shared" si="5"/>
        <v>298.73406685089384</v>
      </c>
      <c r="F106" s="77">
        <f>$C$6-SUM($E$15:E106)</f>
        <v>78800.240152250044</v>
      </c>
    </row>
    <row r="107" spans="2:6" x14ac:dyDescent="0.35">
      <c r="B107" s="37">
        <v>93</v>
      </c>
      <c r="C107" s="76">
        <f t="shared" si="3"/>
        <v>773.32791216549947</v>
      </c>
      <c r="D107" s="76">
        <f t="shared" si="4"/>
        <v>472.80144091350019</v>
      </c>
      <c r="E107" s="76">
        <f t="shared" si="5"/>
        <v>300.52647125199928</v>
      </c>
      <c r="F107" s="77">
        <f>$C$6-SUM($E$15:E107)</f>
        <v>78499.713680998044</v>
      </c>
    </row>
    <row r="108" spans="2:6" x14ac:dyDescent="0.35">
      <c r="B108" s="37">
        <v>94</v>
      </c>
      <c r="C108" s="76">
        <f t="shared" si="3"/>
        <v>773.32791216549947</v>
      </c>
      <c r="D108" s="76">
        <f t="shared" si="4"/>
        <v>470.99828208598831</v>
      </c>
      <c r="E108" s="76">
        <f t="shared" si="5"/>
        <v>302.32963007951116</v>
      </c>
      <c r="F108" s="77">
        <f>$C$6-SUM($E$15:E108)</f>
        <v>78197.384050918539</v>
      </c>
    </row>
    <row r="109" spans="2:6" x14ac:dyDescent="0.35">
      <c r="B109" s="37">
        <v>95</v>
      </c>
      <c r="C109" s="76">
        <f t="shared" si="3"/>
        <v>773.32791216549947</v>
      </c>
      <c r="D109" s="76">
        <f t="shared" si="4"/>
        <v>469.18430430551126</v>
      </c>
      <c r="E109" s="76">
        <f t="shared" si="5"/>
        <v>304.14360785998821</v>
      </c>
      <c r="F109" s="77">
        <f>$C$6-SUM($E$15:E109)</f>
        <v>77893.240443058545</v>
      </c>
    </row>
    <row r="110" spans="2:6" x14ac:dyDescent="0.35">
      <c r="B110" s="37">
        <v>96</v>
      </c>
      <c r="C110" s="76">
        <f t="shared" si="3"/>
        <v>773.32791216549947</v>
      </c>
      <c r="D110" s="76">
        <f t="shared" si="4"/>
        <v>467.35944265835121</v>
      </c>
      <c r="E110" s="76">
        <f t="shared" si="5"/>
        <v>305.96846950714826</v>
      </c>
      <c r="F110" s="77">
        <f>$C$6-SUM($E$15:E110)</f>
        <v>77587.271973551397</v>
      </c>
    </row>
    <row r="111" spans="2:6" x14ac:dyDescent="0.35">
      <c r="B111" s="37">
        <v>97</v>
      </c>
      <c r="C111" s="76">
        <f t="shared" si="3"/>
        <v>773.32791216549947</v>
      </c>
      <c r="D111" s="76">
        <f t="shared" si="4"/>
        <v>465.52363184130837</v>
      </c>
      <c r="E111" s="76">
        <f t="shared" si="5"/>
        <v>307.8042803241911</v>
      </c>
      <c r="F111" s="77">
        <f>$C$6-SUM($E$15:E111)</f>
        <v>77279.467693227198</v>
      </c>
    </row>
    <row r="112" spans="2:6" x14ac:dyDescent="0.35">
      <c r="B112" s="37">
        <v>98</v>
      </c>
      <c r="C112" s="76">
        <f t="shared" si="3"/>
        <v>773.32791216549947</v>
      </c>
      <c r="D112" s="76">
        <f t="shared" si="4"/>
        <v>463.67680615936314</v>
      </c>
      <c r="E112" s="76">
        <f t="shared" si="5"/>
        <v>309.65110600613633</v>
      </c>
      <c r="F112" s="77">
        <f>$C$6-SUM($E$15:E112)</f>
        <v>76969.816587221067</v>
      </c>
    </row>
    <row r="113" spans="2:6" x14ac:dyDescent="0.35">
      <c r="B113" s="37">
        <v>99</v>
      </c>
      <c r="C113" s="76">
        <f t="shared" si="3"/>
        <v>773.32791216549947</v>
      </c>
      <c r="D113" s="76">
        <f t="shared" si="4"/>
        <v>461.81889952332642</v>
      </c>
      <c r="E113" s="76">
        <f t="shared" si="5"/>
        <v>311.50901264217305</v>
      </c>
      <c r="F113" s="77">
        <f>$C$6-SUM($E$15:E113)</f>
        <v>76658.307574578896</v>
      </c>
    </row>
    <row r="114" spans="2:6" x14ac:dyDescent="0.35">
      <c r="B114" s="37">
        <v>100</v>
      </c>
      <c r="C114" s="76">
        <f t="shared" si="3"/>
        <v>773.32791216549947</v>
      </c>
      <c r="D114" s="76">
        <f t="shared" si="4"/>
        <v>459.94984544747342</v>
      </c>
      <c r="E114" s="76">
        <f t="shared" si="5"/>
        <v>313.37806671802605</v>
      </c>
      <c r="F114" s="77">
        <f>$C$6-SUM($E$15:E114)</f>
        <v>76344.92950786087</v>
      </c>
    </row>
    <row r="115" spans="2:6" x14ac:dyDescent="0.35">
      <c r="B115" s="37">
        <v>101</v>
      </c>
      <c r="C115" s="76">
        <f t="shared" si="3"/>
        <v>773.32791216549947</v>
      </c>
      <c r="D115" s="76">
        <f t="shared" si="4"/>
        <v>458.06957704716524</v>
      </c>
      <c r="E115" s="76">
        <f t="shared" si="5"/>
        <v>315.25833511833423</v>
      </c>
      <c r="F115" s="77">
        <f>$C$6-SUM($E$15:E115)</f>
        <v>76029.671172742528</v>
      </c>
    </row>
    <row r="116" spans="2:6" x14ac:dyDescent="0.35">
      <c r="B116" s="37">
        <v>102</v>
      </c>
      <c r="C116" s="76">
        <f t="shared" si="3"/>
        <v>773.32791216549947</v>
      </c>
      <c r="D116" s="76">
        <f t="shared" si="4"/>
        <v>456.17802703645509</v>
      </c>
      <c r="E116" s="76">
        <f t="shared" si="5"/>
        <v>317.14988512904438</v>
      </c>
      <c r="F116" s="77">
        <f>$C$6-SUM($E$15:E116)</f>
        <v>75712.52128761349</v>
      </c>
    </row>
    <row r="117" spans="2:6" x14ac:dyDescent="0.35">
      <c r="B117" s="37">
        <v>103</v>
      </c>
      <c r="C117" s="76">
        <f t="shared" si="3"/>
        <v>773.32791216549947</v>
      </c>
      <c r="D117" s="76">
        <f t="shared" si="4"/>
        <v>454.27512772568087</v>
      </c>
      <c r="E117" s="76">
        <f t="shared" si="5"/>
        <v>319.05278443981859</v>
      </c>
      <c r="F117" s="77">
        <f>$C$6-SUM($E$15:E117)</f>
        <v>75393.468503173674</v>
      </c>
    </row>
    <row r="118" spans="2:6" x14ac:dyDescent="0.35">
      <c r="B118" s="37">
        <v>104</v>
      </c>
      <c r="C118" s="76">
        <f t="shared" si="3"/>
        <v>773.32791216549947</v>
      </c>
      <c r="D118" s="76">
        <f t="shared" si="4"/>
        <v>452.36081101904199</v>
      </c>
      <c r="E118" s="76">
        <f t="shared" si="5"/>
        <v>320.96710114645748</v>
      </c>
      <c r="F118" s="77">
        <f>$C$6-SUM($E$15:E118)</f>
        <v>75072.501402027206</v>
      </c>
    </row>
    <row r="119" spans="2:6" x14ac:dyDescent="0.35">
      <c r="B119" s="37">
        <v>105</v>
      </c>
      <c r="C119" s="76">
        <f t="shared" si="3"/>
        <v>773.32791216549947</v>
      </c>
      <c r="D119" s="76">
        <f t="shared" si="4"/>
        <v>450.4350084121632</v>
      </c>
      <c r="E119" s="76">
        <f t="shared" si="5"/>
        <v>322.89290375333627</v>
      </c>
      <c r="F119" s="77">
        <f>$C$6-SUM($E$15:E119)</f>
        <v>74749.608498273883</v>
      </c>
    </row>
    <row r="120" spans="2:6" x14ac:dyDescent="0.35">
      <c r="B120" s="37">
        <v>106</v>
      </c>
      <c r="C120" s="76">
        <f t="shared" si="3"/>
        <v>773.32791216549947</v>
      </c>
      <c r="D120" s="76">
        <f t="shared" si="4"/>
        <v>448.49765098964326</v>
      </c>
      <c r="E120" s="76">
        <f t="shared" si="5"/>
        <v>324.83026117585621</v>
      </c>
      <c r="F120" s="77">
        <f>$C$6-SUM($E$15:E120)</f>
        <v>74424.778237098013</v>
      </c>
    </row>
    <row r="121" spans="2:6" x14ac:dyDescent="0.35">
      <c r="B121" s="37">
        <v>107</v>
      </c>
      <c r="C121" s="76">
        <f t="shared" si="3"/>
        <v>773.32791216549947</v>
      </c>
      <c r="D121" s="76">
        <f t="shared" si="4"/>
        <v>446.54866942258803</v>
      </c>
      <c r="E121" s="76">
        <f t="shared" si="5"/>
        <v>326.77924274291144</v>
      </c>
      <c r="F121" s="77">
        <f>$C$6-SUM($E$15:E121)</f>
        <v>74097.998994355105</v>
      </c>
    </row>
    <row r="122" spans="2:6" x14ac:dyDescent="0.35">
      <c r="B122" s="37">
        <v>108</v>
      </c>
      <c r="C122" s="76">
        <f t="shared" si="3"/>
        <v>773.32791216549947</v>
      </c>
      <c r="D122" s="76">
        <f t="shared" si="4"/>
        <v>444.58799396613057</v>
      </c>
      <c r="E122" s="76">
        <f t="shared" si="5"/>
        <v>328.7399181993689</v>
      </c>
      <c r="F122" s="77">
        <f>$C$6-SUM($E$15:E122)</f>
        <v>73769.259076155737</v>
      </c>
    </row>
    <row r="123" spans="2:6" x14ac:dyDescent="0.35">
      <c r="B123" s="37">
        <v>109</v>
      </c>
      <c r="C123" s="76">
        <f t="shared" si="3"/>
        <v>773.32791216549947</v>
      </c>
      <c r="D123" s="76">
        <f t="shared" si="4"/>
        <v>442.61555445693438</v>
      </c>
      <c r="E123" s="76">
        <f t="shared" si="5"/>
        <v>330.71235770856509</v>
      </c>
      <c r="F123" s="77">
        <f>$C$6-SUM($E$15:E123)</f>
        <v>73438.546718447178</v>
      </c>
    </row>
    <row r="124" spans="2:6" x14ac:dyDescent="0.35">
      <c r="B124" s="37">
        <v>110</v>
      </c>
      <c r="C124" s="76">
        <f t="shared" si="3"/>
        <v>773.32791216549947</v>
      </c>
      <c r="D124" s="76">
        <f t="shared" si="4"/>
        <v>440.63128031068311</v>
      </c>
      <c r="E124" s="76">
        <f t="shared" si="5"/>
        <v>332.69663185481636</v>
      </c>
      <c r="F124" s="77">
        <f>$C$6-SUM($E$15:E124)</f>
        <v>73105.850086592356</v>
      </c>
    </row>
    <row r="125" spans="2:6" x14ac:dyDescent="0.35">
      <c r="B125" s="37">
        <v>111</v>
      </c>
      <c r="C125" s="76">
        <f t="shared" si="3"/>
        <v>773.32791216549947</v>
      </c>
      <c r="D125" s="76">
        <f t="shared" si="4"/>
        <v>438.6351005195541</v>
      </c>
      <c r="E125" s="76">
        <f t="shared" si="5"/>
        <v>334.69281164594537</v>
      </c>
      <c r="F125" s="77">
        <f>$C$6-SUM($E$15:E125)</f>
        <v>72771.15727494641</v>
      </c>
    </row>
    <row r="126" spans="2:6" x14ac:dyDescent="0.35">
      <c r="B126" s="37">
        <v>112</v>
      </c>
      <c r="C126" s="76">
        <f t="shared" si="3"/>
        <v>773.32791216549947</v>
      </c>
      <c r="D126" s="76">
        <f t="shared" si="4"/>
        <v>436.62694364967848</v>
      </c>
      <c r="E126" s="76">
        <f t="shared" si="5"/>
        <v>336.70096851582099</v>
      </c>
      <c r="F126" s="77">
        <f>$C$6-SUM($E$15:E126)</f>
        <v>72434.456306430598</v>
      </c>
    </row>
    <row r="127" spans="2:6" x14ac:dyDescent="0.35">
      <c r="B127" s="37">
        <v>113</v>
      </c>
      <c r="C127" s="76">
        <f t="shared" si="3"/>
        <v>773.32791216549947</v>
      </c>
      <c r="D127" s="76">
        <f t="shared" si="4"/>
        <v>434.60673783858357</v>
      </c>
      <c r="E127" s="76">
        <f t="shared" si="5"/>
        <v>338.7211743269159</v>
      </c>
      <c r="F127" s="77">
        <f>$C$6-SUM($E$15:E127)</f>
        <v>72095.735132103669</v>
      </c>
    </row>
    <row r="128" spans="2:6" x14ac:dyDescent="0.35">
      <c r="B128" s="37">
        <v>114</v>
      </c>
      <c r="C128" s="76">
        <f t="shared" si="3"/>
        <v>773.32791216549947</v>
      </c>
      <c r="D128" s="76">
        <f t="shared" si="4"/>
        <v>432.57441079262196</v>
      </c>
      <c r="E128" s="76">
        <f t="shared" si="5"/>
        <v>340.75350137287751</v>
      </c>
      <c r="F128" s="77">
        <f>$C$6-SUM($E$15:E128)</f>
        <v>71754.981630730792</v>
      </c>
    </row>
    <row r="129" spans="2:6" x14ac:dyDescent="0.35">
      <c r="B129" s="37">
        <v>115</v>
      </c>
      <c r="C129" s="76">
        <f t="shared" si="3"/>
        <v>773.32791216549947</v>
      </c>
      <c r="D129" s="76">
        <f t="shared" si="4"/>
        <v>430.52988978438469</v>
      </c>
      <c r="E129" s="76">
        <f t="shared" si="5"/>
        <v>342.79802238111478</v>
      </c>
      <c r="F129" s="77">
        <f>$C$6-SUM($E$15:E129)</f>
        <v>71412.183608349689</v>
      </c>
    </row>
    <row r="130" spans="2:6" x14ac:dyDescent="0.35">
      <c r="B130" s="37">
        <v>116</v>
      </c>
      <c r="C130" s="76">
        <f t="shared" si="3"/>
        <v>773.32791216549947</v>
      </c>
      <c r="D130" s="76">
        <f t="shared" si="4"/>
        <v>428.4731016500981</v>
      </c>
      <c r="E130" s="76">
        <f t="shared" si="5"/>
        <v>344.85481051540137</v>
      </c>
      <c r="F130" s="77">
        <f>$C$6-SUM($E$15:E130)</f>
        <v>71067.328797834285</v>
      </c>
    </row>
    <row r="131" spans="2:6" x14ac:dyDescent="0.35">
      <c r="B131" s="37">
        <v>117</v>
      </c>
      <c r="C131" s="76">
        <f t="shared" si="3"/>
        <v>773.32791216549947</v>
      </c>
      <c r="D131" s="76">
        <f t="shared" si="4"/>
        <v>426.40397278700567</v>
      </c>
      <c r="E131" s="76">
        <f t="shared" si="5"/>
        <v>346.9239393784938</v>
      </c>
      <c r="F131" s="77">
        <f>$C$6-SUM($E$15:E131)</f>
        <v>70720.40485845579</v>
      </c>
    </row>
    <row r="132" spans="2:6" x14ac:dyDescent="0.35">
      <c r="B132" s="37">
        <v>118</v>
      </c>
      <c r="C132" s="76">
        <f t="shared" si="3"/>
        <v>773.32791216549947</v>
      </c>
      <c r="D132" s="76">
        <f t="shared" si="4"/>
        <v>424.32242915073476</v>
      </c>
      <c r="E132" s="76">
        <f t="shared" si="5"/>
        <v>349.00548301476471</v>
      </c>
      <c r="F132" s="77">
        <f>$C$6-SUM($E$15:E132)</f>
        <v>70371.399375441018</v>
      </c>
    </row>
    <row r="133" spans="2:6" x14ac:dyDescent="0.35">
      <c r="B133" s="37">
        <v>119</v>
      </c>
      <c r="C133" s="76">
        <f t="shared" si="3"/>
        <v>773.32791216549947</v>
      </c>
      <c r="D133" s="76">
        <f t="shared" si="4"/>
        <v>422.22839625264606</v>
      </c>
      <c r="E133" s="76">
        <f t="shared" si="5"/>
        <v>351.09951591285341</v>
      </c>
      <c r="F133" s="77">
        <f>$C$6-SUM($E$15:E133)</f>
        <v>70020.299859528168</v>
      </c>
    </row>
    <row r="134" spans="2:6" x14ac:dyDescent="0.35">
      <c r="B134" s="37">
        <v>120</v>
      </c>
      <c r="C134" s="76">
        <f t="shared" si="3"/>
        <v>773.32791216549947</v>
      </c>
      <c r="D134" s="76">
        <f t="shared" si="4"/>
        <v>420.12179915716899</v>
      </c>
      <c r="E134" s="76">
        <f t="shared" si="5"/>
        <v>353.20611300833048</v>
      </c>
      <c r="F134" s="77">
        <f>$C$6-SUM($E$15:E134)</f>
        <v>69667.093746519837</v>
      </c>
    </row>
    <row r="135" spans="2:6" x14ac:dyDescent="0.35">
      <c r="B135" s="37">
        <v>121</v>
      </c>
      <c r="C135" s="76">
        <f t="shared" si="3"/>
        <v>773.32791216549947</v>
      </c>
      <c r="D135" s="76">
        <f t="shared" si="4"/>
        <v>418.00256247911904</v>
      </c>
      <c r="E135" s="76">
        <f t="shared" si="5"/>
        <v>355.32534968638043</v>
      </c>
      <c r="F135" s="77">
        <f>$C$6-SUM($E$15:E135)</f>
        <v>69311.76839683346</v>
      </c>
    </row>
    <row r="136" spans="2:6" x14ac:dyDescent="0.35">
      <c r="B136" s="37">
        <v>122</v>
      </c>
      <c r="C136" s="76">
        <f t="shared" si="3"/>
        <v>773.32791216549947</v>
      </c>
      <c r="D136" s="76">
        <f t="shared" si="4"/>
        <v>415.87061038100074</v>
      </c>
      <c r="E136" s="76">
        <f t="shared" si="5"/>
        <v>357.45730178449872</v>
      </c>
      <c r="F136" s="77">
        <f>$C$6-SUM($E$15:E136)</f>
        <v>68954.311095048964</v>
      </c>
    </row>
    <row r="137" spans="2:6" x14ac:dyDescent="0.35">
      <c r="B137" s="37">
        <v>123</v>
      </c>
      <c r="C137" s="76">
        <f t="shared" si="3"/>
        <v>773.32791216549947</v>
      </c>
      <c r="D137" s="76">
        <f t="shared" si="4"/>
        <v>413.72586657029376</v>
      </c>
      <c r="E137" s="76">
        <f t="shared" si="5"/>
        <v>359.60204559520571</v>
      </c>
      <c r="F137" s="77">
        <f>$C$6-SUM($E$15:E137)</f>
        <v>68594.709049453755</v>
      </c>
    </row>
    <row r="138" spans="2:6" x14ac:dyDescent="0.35">
      <c r="B138" s="37">
        <v>124</v>
      </c>
      <c r="C138" s="76">
        <f t="shared" si="3"/>
        <v>773.32791216549947</v>
      </c>
      <c r="D138" s="76">
        <f t="shared" si="4"/>
        <v>411.56825429672256</v>
      </c>
      <c r="E138" s="76">
        <f t="shared" si="5"/>
        <v>361.75965786877691</v>
      </c>
      <c r="F138" s="77">
        <f>$C$6-SUM($E$15:E138)</f>
        <v>68232.949391584974</v>
      </c>
    </row>
    <row r="139" spans="2:6" x14ac:dyDescent="0.35">
      <c r="B139" s="37">
        <v>125</v>
      </c>
      <c r="C139" s="76">
        <f t="shared" si="3"/>
        <v>773.32791216549947</v>
      </c>
      <c r="D139" s="76">
        <f t="shared" si="4"/>
        <v>409.39769634950983</v>
      </c>
      <c r="E139" s="76">
        <f t="shared" si="5"/>
        <v>363.93021581598964</v>
      </c>
      <c r="F139" s="77">
        <f>$C$6-SUM($E$15:E139)</f>
        <v>67869.01917576899</v>
      </c>
    </row>
    <row r="140" spans="2:6" x14ac:dyDescent="0.35">
      <c r="B140" s="37">
        <v>126</v>
      </c>
      <c r="C140" s="76">
        <f t="shared" si="3"/>
        <v>773.32791216549947</v>
      </c>
      <c r="D140" s="76">
        <f t="shared" si="4"/>
        <v>407.2141150546139</v>
      </c>
      <c r="E140" s="76">
        <f t="shared" si="5"/>
        <v>366.11379711088557</v>
      </c>
      <c r="F140" s="77">
        <f>$C$6-SUM($E$15:E140)</f>
        <v>67502.905378658106</v>
      </c>
    </row>
    <row r="141" spans="2:6" x14ac:dyDescent="0.35">
      <c r="B141" s="37">
        <v>127</v>
      </c>
      <c r="C141" s="76">
        <f t="shared" si="3"/>
        <v>773.32791216549947</v>
      </c>
      <c r="D141" s="76">
        <f t="shared" si="4"/>
        <v>405.01743227194862</v>
      </c>
      <c r="E141" s="76">
        <f t="shared" si="5"/>
        <v>368.31047989355085</v>
      </c>
      <c r="F141" s="77">
        <f>$C$6-SUM($E$15:E141)</f>
        <v>67134.594898764553</v>
      </c>
    </row>
    <row r="142" spans="2:6" x14ac:dyDescent="0.35">
      <c r="B142" s="37">
        <v>128</v>
      </c>
      <c r="C142" s="76">
        <f t="shared" si="3"/>
        <v>773.32791216549947</v>
      </c>
      <c r="D142" s="76">
        <f t="shared" si="4"/>
        <v>402.80756939258731</v>
      </c>
      <c r="E142" s="76">
        <f t="shared" si="5"/>
        <v>370.52034277291216</v>
      </c>
      <c r="F142" s="77">
        <f>$C$6-SUM($E$15:E142)</f>
        <v>66764.074555991639</v>
      </c>
    </row>
    <row r="143" spans="2:6" x14ac:dyDescent="0.35">
      <c r="B143" s="37">
        <v>129</v>
      </c>
      <c r="C143" s="76">
        <f t="shared" si="3"/>
        <v>773.32791216549947</v>
      </c>
      <c r="D143" s="76">
        <f t="shared" si="4"/>
        <v>400.58444733594985</v>
      </c>
      <c r="E143" s="76">
        <f t="shared" si="5"/>
        <v>372.74346482954962</v>
      </c>
      <c r="F143" s="77">
        <f>$C$6-SUM($E$15:E143)</f>
        <v>66391.331091162079</v>
      </c>
    </row>
    <row r="144" spans="2:6" x14ac:dyDescent="0.35">
      <c r="B144" s="37">
        <v>130</v>
      </c>
      <c r="C144" s="76">
        <f t="shared" ref="C144:C207" si="6">$C$11</f>
        <v>773.32791216549947</v>
      </c>
      <c r="D144" s="76">
        <f t="shared" si="4"/>
        <v>398.34798654697249</v>
      </c>
      <c r="E144" s="76">
        <f t="shared" si="5"/>
        <v>374.97992561852698</v>
      </c>
      <c r="F144" s="77">
        <f>$C$6-SUM($E$15:E144)</f>
        <v>66016.351165543558</v>
      </c>
    </row>
    <row r="145" spans="2:6" x14ac:dyDescent="0.35">
      <c r="B145" s="37">
        <v>131</v>
      </c>
      <c r="C145" s="76">
        <f t="shared" si="6"/>
        <v>773.32791216549947</v>
      </c>
      <c r="D145" s="76">
        <f t="shared" ref="D145:D208" si="7">F144*$C$7/$C$9</f>
        <v>396.09810699326135</v>
      </c>
      <c r="E145" s="76">
        <f t="shared" ref="E145:E208" si="8">C145-D145</f>
        <v>377.22980517223812</v>
      </c>
      <c r="F145" s="77">
        <f>$C$6-SUM($E$15:E145)</f>
        <v>65639.121360371326</v>
      </c>
    </row>
    <row r="146" spans="2:6" x14ac:dyDescent="0.35">
      <c r="B146" s="37">
        <v>132</v>
      </c>
      <c r="C146" s="76">
        <f t="shared" si="6"/>
        <v>773.32791216549947</v>
      </c>
      <c r="D146" s="76">
        <f t="shared" si="7"/>
        <v>393.83472816222792</v>
      </c>
      <c r="E146" s="76">
        <f t="shared" si="8"/>
        <v>379.49318400327155</v>
      </c>
      <c r="F146" s="77">
        <f>$C$6-SUM($E$15:E146)</f>
        <v>65259.628176368045</v>
      </c>
    </row>
    <row r="147" spans="2:6" x14ac:dyDescent="0.35">
      <c r="B147" s="37">
        <v>133</v>
      </c>
      <c r="C147" s="76">
        <f t="shared" si="6"/>
        <v>773.32791216549947</v>
      </c>
      <c r="D147" s="76">
        <f t="shared" si="7"/>
        <v>391.55776905820824</v>
      </c>
      <c r="E147" s="76">
        <f t="shared" si="8"/>
        <v>381.77014310729123</v>
      </c>
      <c r="F147" s="77">
        <f>$C$6-SUM($E$15:E147)</f>
        <v>64877.858033260753</v>
      </c>
    </row>
    <row r="148" spans="2:6" x14ac:dyDescent="0.35">
      <c r="B148" s="37">
        <v>134</v>
      </c>
      <c r="C148" s="76">
        <f t="shared" si="6"/>
        <v>773.32791216549947</v>
      </c>
      <c r="D148" s="76">
        <f t="shared" si="7"/>
        <v>389.26714819956453</v>
      </c>
      <c r="E148" s="76">
        <f t="shared" si="8"/>
        <v>384.06076396593494</v>
      </c>
      <c r="F148" s="77">
        <f>$C$6-SUM($E$15:E148)</f>
        <v>64493.797269294817</v>
      </c>
    </row>
    <row r="149" spans="2:6" x14ac:dyDescent="0.35">
      <c r="B149" s="37">
        <v>135</v>
      </c>
      <c r="C149" s="76">
        <f t="shared" si="6"/>
        <v>773.32791216549947</v>
      </c>
      <c r="D149" s="76">
        <f t="shared" si="7"/>
        <v>386.9627836157689</v>
      </c>
      <c r="E149" s="76">
        <f t="shared" si="8"/>
        <v>386.36512854973057</v>
      </c>
      <c r="F149" s="77">
        <f>$C$6-SUM($E$15:E149)</f>
        <v>64107.432140745084</v>
      </c>
    </row>
    <row r="150" spans="2:6" x14ac:dyDescent="0.35">
      <c r="B150" s="37">
        <v>136</v>
      </c>
      <c r="C150" s="76">
        <f t="shared" si="6"/>
        <v>773.32791216549947</v>
      </c>
      <c r="D150" s="76">
        <f t="shared" si="7"/>
        <v>384.64459284447048</v>
      </c>
      <c r="E150" s="76">
        <f t="shared" si="8"/>
        <v>388.68331932102899</v>
      </c>
      <c r="F150" s="77">
        <f>$C$6-SUM($E$15:E150)</f>
        <v>63718.748821424058</v>
      </c>
    </row>
    <row r="151" spans="2:6" x14ac:dyDescent="0.35">
      <c r="B151" s="37">
        <v>137</v>
      </c>
      <c r="C151" s="76">
        <f t="shared" si="6"/>
        <v>773.32791216549947</v>
      </c>
      <c r="D151" s="76">
        <f t="shared" si="7"/>
        <v>382.31249292854432</v>
      </c>
      <c r="E151" s="76">
        <f t="shared" si="8"/>
        <v>391.01541923695515</v>
      </c>
      <c r="F151" s="77">
        <f>$C$6-SUM($E$15:E151)</f>
        <v>63327.733402187107</v>
      </c>
    </row>
    <row r="152" spans="2:6" x14ac:dyDescent="0.35">
      <c r="B152" s="37">
        <v>138</v>
      </c>
      <c r="C152" s="76">
        <f t="shared" si="6"/>
        <v>773.32791216549947</v>
      </c>
      <c r="D152" s="76">
        <f t="shared" si="7"/>
        <v>379.96640041312264</v>
      </c>
      <c r="E152" s="76">
        <f t="shared" si="8"/>
        <v>393.36151175237683</v>
      </c>
      <c r="F152" s="77">
        <f>$C$6-SUM($E$15:E152)</f>
        <v>62934.371890434733</v>
      </c>
    </row>
    <row r="153" spans="2:6" x14ac:dyDescent="0.35">
      <c r="B153" s="37">
        <v>139</v>
      </c>
      <c r="C153" s="76">
        <f t="shared" si="6"/>
        <v>773.32791216549947</v>
      </c>
      <c r="D153" s="76">
        <f t="shared" si="7"/>
        <v>377.6062313426084</v>
      </c>
      <c r="E153" s="76">
        <f t="shared" si="8"/>
        <v>395.72168082289107</v>
      </c>
      <c r="F153" s="77">
        <f>$C$6-SUM($E$15:E153)</f>
        <v>62538.650209611842</v>
      </c>
    </row>
    <row r="154" spans="2:6" x14ac:dyDescent="0.35">
      <c r="B154" s="37">
        <v>140</v>
      </c>
      <c r="C154" s="76">
        <f t="shared" si="6"/>
        <v>773.32791216549947</v>
      </c>
      <c r="D154" s="76">
        <f t="shared" si="7"/>
        <v>375.23190125767104</v>
      </c>
      <c r="E154" s="76">
        <f t="shared" si="8"/>
        <v>398.09601090782843</v>
      </c>
      <c r="F154" s="77">
        <f>$C$6-SUM($E$15:E154)</f>
        <v>62140.554198704012</v>
      </c>
    </row>
    <row r="155" spans="2:6" x14ac:dyDescent="0.35">
      <c r="B155" s="37">
        <v>141</v>
      </c>
      <c r="C155" s="76">
        <f t="shared" si="6"/>
        <v>773.32791216549947</v>
      </c>
      <c r="D155" s="76">
        <f t="shared" si="7"/>
        <v>372.84332519222409</v>
      </c>
      <c r="E155" s="76">
        <f t="shared" si="8"/>
        <v>400.48458697327538</v>
      </c>
      <c r="F155" s="77">
        <f>$C$6-SUM($E$15:E155)</f>
        <v>61740.069611730738</v>
      </c>
    </row>
    <row r="156" spans="2:6" x14ac:dyDescent="0.35">
      <c r="B156" s="37">
        <v>142</v>
      </c>
      <c r="C156" s="76">
        <f t="shared" si="6"/>
        <v>773.32791216549947</v>
      </c>
      <c r="D156" s="76">
        <f t="shared" si="7"/>
        <v>370.44041767038442</v>
      </c>
      <c r="E156" s="76">
        <f t="shared" si="8"/>
        <v>402.88749449511505</v>
      </c>
      <c r="F156" s="77">
        <f>$C$6-SUM($E$15:E156)</f>
        <v>61337.182117235621</v>
      </c>
    </row>
    <row r="157" spans="2:6" x14ac:dyDescent="0.35">
      <c r="B157" s="37">
        <v>143</v>
      </c>
      <c r="C157" s="76">
        <f t="shared" si="6"/>
        <v>773.32791216549947</v>
      </c>
      <c r="D157" s="76">
        <f t="shared" si="7"/>
        <v>368.02309270341368</v>
      </c>
      <c r="E157" s="76">
        <f t="shared" si="8"/>
        <v>405.30481946208579</v>
      </c>
      <c r="F157" s="77">
        <f>$C$6-SUM($E$15:E157)</f>
        <v>60931.877297773535</v>
      </c>
    </row>
    <row r="158" spans="2:6" x14ac:dyDescent="0.35">
      <c r="B158" s="37">
        <v>144</v>
      </c>
      <c r="C158" s="76">
        <f t="shared" si="6"/>
        <v>773.32791216549947</v>
      </c>
      <c r="D158" s="76">
        <f t="shared" si="7"/>
        <v>365.59126378664121</v>
      </c>
      <c r="E158" s="76">
        <f t="shared" si="8"/>
        <v>407.73664837885826</v>
      </c>
      <c r="F158" s="77">
        <f>$C$6-SUM($E$15:E158)</f>
        <v>60524.140649394678</v>
      </c>
    </row>
    <row r="159" spans="2:6" x14ac:dyDescent="0.35">
      <c r="B159" s="37">
        <v>145</v>
      </c>
      <c r="C159" s="76">
        <f t="shared" si="6"/>
        <v>773.32791216549947</v>
      </c>
      <c r="D159" s="76">
        <f t="shared" si="7"/>
        <v>363.14484389636806</v>
      </c>
      <c r="E159" s="76">
        <f t="shared" si="8"/>
        <v>410.18306826913141</v>
      </c>
      <c r="F159" s="77">
        <f>$C$6-SUM($E$15:E159)</f>
        <v>60113.957581125549</v>
      </c>
    </row>
    <row r="160" spans="2:6" x14ac:dyDescent="0.35">
      <c r="B160" s="37">
        <v>146</v>
      </c>
      <c r="C160" s="76">
        <f t="shared" si="6"/>
        <v>773.32791216549947</v>
      </c>
      <c r="D160" s="76">
        <f t="shared" si="7"/>
        <v>360.68374548675331</v>
      </c>
      <c r="E160" s="76">
        <f t="shared" si="8"/>
        <v>412.64416667874616</v>
      </c>
      <c r="F160" s="77">
        <f>$C$6-SUM($E$15:E160)</f>
        <v>59701.313414446806</v>
      </c>
    </row>
    <row r="161" spans="2:6" x14ac:dyDescent="0.35">
      <c r="B161" s="37">
        <v>147</v>
      </c>
      <c r="C161" s="76">
        <f t="shared" si="6"/>
        <v>773.32791216549947</v>
      </c>
      <c r="D161" s="76">
        <f t="shared" si="7"/>
        <v>358.20788048668084</v>
      </c>
      <c r="E161" s="76">
        <f t="shared" si="8"/>
        <v>415.12003167881863</v>
      </c>
      <c r="F161" s="77">
        <f>$C$6-SUM($E$15:E161)</f>
        <v>59286.19338276799</v>
      </c>
    </row>
    <row r="162" spans="2:6" x14ac:dyDescent="0.35">
      <c r="B162" s="37">
        <v>148</v>
      </c>
      <c r="C162" s="76">
        <f t="shared" si="6"/>
        <v>773.32791216549947</v>
      </c>
      <c r="D162" s="76">
        <f t="shared" si="7"/>
        <v>355.71716029660791</v>
      </c>
      <c r="E162" s="76">
        <f t="shared" si="8"/>
        <v>417.61075186889155</v>
      </c>
      <c r="F162" s="77">
        <f>$C$6-SUM($E$15:E162)</f>
        <v>58868.582630899095</v>
      </c>
    </row>
    <row r="163" spans="2:6" x14ac:dyDescent="0.35">
      <c r="B163" s="37">
        <v>149</v>
      </c>
      <c r="C163" s="76">
        <f t="shared" si="6"/>
        <v>773.32791216549947</v>
      </c>
      <c r="D163" s="76">
        <f t="shared" si="7"/>
        <v>353.21149578539456</v>
      </c>
      <c r="E163" s="76">
        <f t="shared" si="8"/>
        <v>420.11641638010491</v>
      </c>
      <c r="F163" s="77">
        <f>$C$6-SUM($E$15:E163)</f>
        <v>58448.466214518987</v>
      </c>
    </row>
    <row r="164" spans="2:6" x14ac:dyDescent="0.35">
      <c r="B164" s="37">
        <v>150</v>
      </c>
      <c r="C164" s="76">
        <f t="shared" si="6"/>
        <v>773.32791216549947</v>
      </c>
      <c r="D164" s="76">
        <f t="shared" si="7"/>
        <v>350.69079728711392</v>
      </c>
      <c r="E164" s="76">
        <f t="shared" si="8"/>
        <v>422.63711487838555</v>
      </c>
      <c r="F164" s="77">
        <f>$C$6-SUM($E$15:E164)</f>
        <v>58025.829099640599</v>
      </c>
    </row>
    <row r="165" spans="2:6" x14ac:dyDescent="0.35">
      <c r="B165" s="37">
        <v>151</v>
      </c>
      <c r="C165" s="76">
        <f t="shared" si="6"/>
        <v>773.32791216549947</v>
      </c>
      <c r="D165" s="76">
        <f t="shared" si="7"/>
        <v>348.15497459784359</v>
      </c>
      <c r="E165" s="76">
        <f t="shared" si="8"/>
        <v>425.17293756765588</v>
      </c>
      <c r="F165" s="77">
        <f>$C$6-SUM($E$15:E165)</f>
        <v>57600.656162072941</v>
      </c>
    </row>
    <row r="166" spans="2:6" x14ac:dyDescent="0.35">
      <c r="B166" s="37">
        <v>152</v>
      </c>
      <c r="C166" s="76">
        <f t="shared" si="6"/>
        <v>773.32791216549947</v>
      </c>
      <c r="D166" s="76">
        <f t="shared" si="7"/>
        <v>345.60393697243762</v>
      </c>
      <c r="E166" s="76">
        <f t="shared" si="8"/>
        <v>427.72397519306185</v>
      </c>
      <c r="F166" s="77">
        <f>$C$6-SUM($E$15:E166)</f>
        <v>57172.93218687988</v>
      </c>
    </row>
    <row r="167" spans="2:6" x14ac:dyDescent="0.35">
      <c r="B167" s="37">
        <v>153</v>
      </c>
      <c r="C167" s="76">
        <f t="shared" si="6"/>
        <v>773.32791216549947</v>
      </c>
      <c r="D167" s="76">
        <f t="shared" si="7"/>
        <v>343.03759312127926</v>
      </c>
      <c r="E167" s="76">
        <f t="shared" si="8"/>
        <v>430.29031904422021</v>
      </c>
      <c r="F167" s="77">
        <f>$C$6-SUM($E$15:E167)</f>
        <v>56742.641867835657</v>
      </c>
    </row>
    <row r="168" spans="2:6" x14ac:dyDescent="0.35">
      <c r="B168" s="37">
        <v>154</v>
      </c>
      <c r="C168" s="76">
        <f t="shared" si="6"/>
        <v>773.32791216549947</v>
      </c>
      <c r="D168" s="76">
        <f t="shared" si="7"/>
        <v>340.45585120701395</v>
      </c>
      <c r="E168" s="76">
        <f t="shared" si="8"/>
        <v>432.87206095848552</v>
      </c>
      <c r="F168" s="77">
        <f>$C$6-SUM($E$15:E168)</f>
        <v>56309.769806877172</v>
      </c>
    </row>
    <row r="169" spans="2:6" x14ac:dyDescent="0.35">
      <c r="B169" s="37">
        <v>155</v>
      </c>
      <c r="C169" s="76">
        <f t="shared" si="6"/>
        <v>773.32791216549947</v>
      </c>
      <c r="D169" s="76">
        <f t="shared" si="7"/>
        <v>337.85861884126302</v>
      </c>
      <c r="E169" s="76">
        <f t="shared" si="8"/>
        <v>435.46929332423645</v>
      </c>
      <c r="F169" s="77">
        <f>$C$6-SUM($E$15:E169)</f>
        <v>55874.300513552938</v>
      </c>
    </row>
    <row r="170" spans="2:6" x14ac:dyDescent="0.35">
      <c r="B170" s="37">
        <v>156</v>
      </c>
      <c r="C170" s="76">
        <f t="shared" si="6"/>
        <v>773.32791216549947</v>
      </c>
      <c r="D170" s="76">
        <f t="shared" si="7"/>
        <v>335.2458030813176</v>
      </c>
      <c r="E170" s="76">
        <f t="shared" si="8"/>
        <v>438.08210908418187</v>
      </c>
      <c r="F170" s="77">
        <f>$C$6-SUM($E$15:E170)</f>
        <v>55436.21840446876</v>
      </c>
    </row>
    <row r="171" spans="2:6" x14ac:dyDescent="0.35">
      <c r="B171" s="37">
        <v>157</v>
      </c>
      <c r="C171" s="76">
        <f t="shared" si="6"/>
        <v>773.32791216549947</v>
      </c>
      <c r="D171" s="76">
        <f t="shared" si="7"/>
        <v>332.61731042681254</v>
      </c>
      <c r="E171" s="76">
        <f t="shared" si="8"/>
        <v>440.71060173868693</v>
      </c>
      <c r="F171" s="77">
        <f>$C$6-SUM($E$15:E171)</f>
        <v>54995.50780273007</v>
      </c>
    </row>
    <row r="172" spans="2:6" x14ac:dyDescent="0.35">
      <c r="B172" s="37">
        <v>158</v>
      </c>
      <c r="C172" s="76">
        <f t="shared" si="6"/>
        <v>773.32791216549947</v>
      </c>
      <c r="D172" s="76">
        <f t="shared" si="7"/>
        <v>329.97304681638036</v>
      </c>
      <c r="E172" s="76">
        <f t="shared" si="8"/>
        <v>443.35486534911911</v>
      </c>
      <c r="F172" s="77">
        <f>$C$6-SUM($E$15:E172)</f>
        <v>54552.152937380954</v>
      </c>
    </row>
    <row r="173" spans="2:6" x14ac:dyDescent="0.35">
      <c r="B173" s="37">
        <v>159</v>
      </c>
      <c r="C173" s="76">
        <f t="shared" si="6"/>
        <v>773.32791216549947</v>
      </c>
      <c r="D173" s="76">
        <f t="shared" si="7"/>
        <v>327.31291762428572</v>
      </c>
      <c r="E173" s="76">
        <f t="shared" si="8"/>
        <v>446.01499454121375</v>
      </c>
      <c r="F173" s="77">
        <f>$C$6-SUM($E$15:E173)</f>
        <v>54106.137942839741</v>
      </c>
    </row>
    <row r="174" spans="2:6" x14ac:dyDescent="0.35">
      <c r="B174" s="37">
        <v>160</v>
      </c>
      <c r="C174" s="76">
        <f t="shared" si="6"/>
        <v>773.32791216549947</v>
      </c>
      <c r="D174" s="76">
        <f t="shared" si="7"/>
        <v>324.63682765703845</v>
      </c>
      <c r="E174" s="76">
        <f t="shared" si="8"/>
        <v>448.69108450846102</v>
      </c>
      <c r="F174" s="77">
        <f>$C$6-SUM($E$15:E174)</f>
        <v>53657.446858331277</v>
      </c>
    </row>
    <row r="175" spans="2:6" x14ac:dyDescent="0.35">
      <c r="B175" s="37">
        <v>161</v>
      </c>
      <c r="C175" s="76">
        <f t="shared" si="6"/>
        <v>773.32791216549947</v>
      </c>
      <c r="D175" s="76">
        <f t="shared" si="7"/>
        <v>321.94468114998767</v>
      </c>
      <c r="E175" s="76">
        <f t="shared" si="8"/>
        <v>451.3832310155118</v>
      </c>
      <c r="F175" s="77">
        <f>$C$6-SUM($E$15:E175)</f>
        <v>53206.063627315765</v>
      </c>
    </row>
    <row r="176" spans="2:6" x14ac:dyDescent="0.35">
      <c r="B176" s="37">
        <v>162</v>
      </c>
      <c r="C176" s="76">
        <f t="shared" si="6"/>
        <v>773.32791216549947</v>
      </c>
      <c r="D176" s="76">
        <f t="shared" si="7"/>
        <v>319.2363817638946</v>
      </c>
      <c r="E176" s="76">
        <f t="shared" si="8"/>
        <v>454.09153040160487</v>
      </c>
      <c r="F176" s="77">
        <f>$C$6-SUM($E$15:E176)</f>
        <v>52751.972096914164</v>
      </c>
    </row>
    <row r="177" spans="2:6" x14ac:dyDescent="0.35">
      <c r="B177" s="37">
        <v>163</v>
      </c>
      <c r="C177" s="76">
        <f t="shared" si="6"/>
        <v>773.32791216549947</v>
      </c>
      <c r="D177" s="76">
        <f t="shared" si="7"/>
        <v>316.51183258148501</v>
      </c>
      <c r="E177" s="76">
        <f t="shared" si="8"/>
        <v>456.81607958401446</v>
      </c>
      <c r="F177" s="77">
        <f>$C$6-SUM($E$15:E177)</f>
        <v>52295.156017330148</v>
      </c>
    </row>
    <row r="178" spans="2:6" x14ac:dyDescent="0.35">
      <c r="B178" s="37">
        <v>164</v>
      </c>
      <c r="C178" s="76">
        <f t="shared" si="6"/>
        <v>773.32791216549947</v>
      </c>
      <c r="D178" s="76">
        <f t="shared" si="7"/>
        <v>313.77093610398089</v>
      </c>
      <c r="E178" s="76">
        <f t="shared" si="8"/>
        <v>459.55697606151858</v>
      </c>
      <c r="F178" s="77">
        <f>$C$6-SUM($E$15:E178)</f>
        <v>51835.59904126863</v>
      </c>
    </row>
    <row r="179" spans="2:6" x14ac:dyDescent="0.35">
      <c r="B179" s="37">
        <v>165</v>
      </c>
      <c r="C179" s="76">
        <f t="shared" si="6"/>
        <v>773.32791216549947</v>
      </c>
      <c r="D179" s="76">
        <f t="shared" si="7"/>
        <v>311.01359424761176</v>
      </c>
      <c r="E179" s="76">
        <f t="shared" si="8"/>
        <v>462.31431791788771</v>
      </c>
      <c r="F179" s="77">
        <f>$C$6-SUM($E$15:E179)</f>
        <v>51373.284723350742</v>
      </c>
    </row>
    <row r="180" spans="2:6" x14ac:dyDescent="0.35">
      <c r="B180" s="37">
        <v>166</v>
      </c>
      <c r="C180" s="76">
        <f t="shared" si="6"/>
        <v>773.32791216549947</v>
      </c>
      <c r="D180" s="76">
        <f t="shared" si="7"/>
        <v>308.23970834010441</v>
      </c>
      <c r="E180" s="76">
        <f t="shared" si="8"/>
        <v>465.08820382539506</v>
      </c>
      <c r="F180" s="77">
        <f>$C$6-SUM($E$15:E180)</f>
        <v>50908.196519525343</v>
      </c>
    </row>
    <row r="181" spans="2:6" x14ac:dyDescent="0.35">
      <c r="B181" s="37">
        <v>167</v>
      </c>
      <c r="C181" s="76">
        <f t="shared" si="6"/>
        <v>773.32791216549947</v>
      </c>
      <c r="D181" s="76">
        <f t="shared" si="7"/>
        <v>305.44917911715208</v>
      </c>
      <c r="E181" s="76">
        <f t="shared" si="8"/>
        <v>467.87873304834739</v>
      </c>
      <c r="F181" s="77">
        <f>$C$6-SUM($E$15:E181)</f>
        <v>50440.317786476997</v>
      </c>
    </row>
    <row r="182" spans="2:6" x14ac:dyDescent="0.35">
      <c r="B182" s="37">
        <v>168</v>
      </c>
      <c r="C182" s="76">
        <f t="shared" si="6"/>
        <v>773.32791216549947</v>
      </c>
      <c r="D182" s="76">
        <f t="shared" si="7"/>
        <v>302.641906718862</v>
      </c>
      <c r="E182" s="76">
        <f t="shared" si="8"/>
        <v>470.68600544663747</v>
      </c>
      <c r="F182" s="77">
        <f>$C$6-SUM($E$15:E182)</f>
        <v>49969.631781030359</v>
      </c>
    </row>
    <row r="183" spans="2:6" x14ac:dyDescent="0.35">
      <c r="B183" s="37">
        <v>169</v>
      </c>
      <c r="C183" s="76">
        <f t="shared" si="6"/>
        <v>773.32791216549947</v>
      </c>
      <c r="D183" s="76">
        <f t="shared" si="7"/>
        <v>299.81779068618215</v>
      </c>
      <c r="E183" s="76">
        <f t="shared" si="8"/>
        <v>473.51012147931732</v>
      </c>
      <c r="F183" s="77">
        <f>$C$6-SUM($E$15:E183)</f>
        <v>49496.121659551041</v>
      </c>
    </row>
    <row r="184" spans="2:6" x14ac:dyDescent="0.35">
      <c r="B184" s="37">
        <v>170</v>
      </c>
      <c r="C184" s="76">
        <f t="shared" si="6"/>
        <v>773.32791216549947</v>
      </c>
      <c r="D184" s="76">
        <f t="shared" si="7"/>
        <v>296.97672995730625</v>
      </c>
      <c r="E184" s="76">
        <f t="shared" si="8"/>
        <v>476.35118220819322</v>
      </c>
      <c r="F184" s="77">
        <f>$C$6-SUM($E$15:E184)</f>
        <v>49019.770477342849</v>
      </c>
    </row>
    <row r="185" spans="2:6" x14ac:dyDescent="0.35">
      <c r="B185" s="37">
        <v>171</v>
      </c>
      <c r="C185" s="76">
        <f t="shared" si="6"/>
        <v>773.32791216549947</v>
      </c>
      <c r="D185" s="76">
        <f t="shared" si="7"/>
        <v>294.1186228640571</v>
      </c>
      <c r="E185" s="76">
        <f t="shared" si="8"/>
        <v>479.20928930144237</v>
      </c>
      <c r="F185" s="77">
        <f>$C$6-SUM($E$15:E185)</f>
        <v>48540.561188041407</v>
      </c>
    </row>
    <row r="186" spans="2:6" x14ac:dyDescent="0.35">
      <c r="B186" s="37">
        <v>172</v>
      </c>
      <c r="C186" s="76">
        <f t="shared" si="6"/>
        <v>773.32791216549947</v>
      </c>
      <c r="D186" s="76">
        <f t="shared" si="7"/>
        <v>291.24336712824845</v>
      </c>
      <c r="E186" s="76">
        <f t="shared" si="8"/>
        <v>482.08454503725102</v>
      </c>
      <c r="F186" s="77">
        <f>$C$6-SUM($E$15:E186)</f>
        <v>48058.476643004156</v>
      </c>
    </row>
    <row r="187" spans="2:6" x14ac:dyDescent="0.35">
      <c r="B187" s="37">
        <v>173</v>
      </c>
      <c r="C187" s="76">
        <f t="shared" si="6"/>
        <v>773.32791216549947</v>
      </c>
      <c r="D187" s="76">
        <f t="shared" si="7"/>
        <v>288.35085985802493</v>
      </c>
      <c r="E187" s="76">
        <f t="shared" si="8"/>
        <v>484.97705230747454</v>
      </c>
      <c r="F187" s="77">
        <f>$C$6-SUM($E$15:E187)</f>
        <v>47573.49959069668</v>
      </c>
    </row>
    <row r="188" spans="2:6" x14ac:dyDescent="0.35">
      <c r="B188" s="37">
        <v>174</v>
      </c>
      <c r="C188" s="76">
        <f t="shared" si="6"/>
        <v>773.32791216549947</v>
      </c>
      <c r="D188" s="76">
        <f t="shared" si="7"/>
        <v>285.44099754418005</v>
      </c>
      <c r="E188" s="76">
        <f t="shared" si="8"/>
        <v>487.88691462131942</v>
      </c>
      <c r="F188" s="77">
        <f>$C$6-SUM($E$15:E188)</f>
        <v>47085.612676075361</v>
      </c>
    </row>
    <row r="189" spans="2:6" x14ac:dyDescent="0.35">
      <c r="B189" s="37">
        <v>175</v>
      </c>
      <c r="C189" s="76">
        <f t="shared" si="6"/>
        <v>773.32791216549947</v>
      </c>
      <c r="D189" s="76">
        <f t="shared" si="7"/>
        <v>282.51367605645214</v>
      </c>
      <c r="E189" s="76">
        <f t="shared" si="8"/>
        <v>490.81423610904733</v>
      </c>
      <c r="F189" s="77">
        <f>$C$6-SUM($E$15:E189)</f>
        <v>46594.798439966311</v>
      </c>
    </row>
    <row r="190" spans="2:6" x14ac:dyDescent="0.35">
      <c r="B190" s="37">
        <v>176</v>
      </c>
      <c r="C190" s="76">
        <f t="shared" si="6"/>
        <v>773.32791216549947</v>
      </c>
      <c r="D190" s="76">
        <f t="shared" si="7"/>
        <v>279.56879063979784</v>
      </c>
      <c r="E190" s="76">
        <f t="shared" si="8"/>
        <v>493.75912152570163</v>
      </c>
      <c r="F190" s="77">
        <f>$C$6-SUM($E$15:E190)</f>
        <v>46101.039318440613</v>
      </c>
    </row>
    <row r="191" spans="2:6" x14ac:dyDescent="0.35">
      <c r="B191" s="37">
        <v>177</v>
      </c>
      <c r="C191" s="76">
        <f t="shared" si="6"/>
        <v>773.32791216549947</v>
      </c>
      <c r="D191" s="76">
        <f t="shared" si="7"/>
        <v>276.6062359106437</v>
      </c>
      <c r="E191" s="76">
        <f t="shared" si="8"/>
        <v>496.72167625485577</v>
      </c>
      <c r="F191" s="77">
        <f>$C$6-SUM($E$15:E191)</f>
        <v>45604.317642185757</v>
      </c>
    </row>
    <row r="192" spans="2:6" x14ac:dyDescent="0.35">
      <c r="B192" s="37">
        <v>178</v>
      </c>
      <c r="C192" s="76">
        <f t="shared" si="6"/>
        <v>773.32791216549947</v>
      </c>
      <c r="D192" s="76">
        <f t="shared" si="7"/>
        <v>273.62590585311455</v>
      </c>
      <c r="E192" s="76">
        <f t="shared" si="8"/>
        <v>499.70200631238492</v>
      </c>
      <c r="F192" s="77">
        <f>$C$6-SUM($E$15:E192)</f>
        <v>45104.615635873372</v>
      </c>
    </row>
    <row r="193" spans="2:6" x14ac:dyDescent="0.35">
      <c r="B193" s="37">
        <v>179</v>
      </c>
      <c r="C193" s="76">
        <f t="shared" si="6"/>
        <v>773.32791216549947</v>
      </c>
      <c r="D193" s="76">
        <f t="shared" si="7"/>
        <v>270.62769381524021</v>
      </c>
      <c r="E193" s="76">
        <f t="shared" si="8"/>
        <v>502.70021835025926</v>
      </c>
      <c r="F193" s="77">
        <f>$C$6-SUM($E$15:E193)</f>
        <v>44601.915417523109</v>
      </c>
    </row>
    <row r="194" spans="2:6" x14ac:dyDescent="0.35">
      <c r="B194" s="37">
        <v>180</v>
      </c>
      <c r="C194" s="76">
        <f t="shared" si="6"/>
        <v>773.32791216549947</v>
      </c>
      <c r="D194" s="76">
        <f t="shared" si="7"/>
        <v>267.61149250513864</v>
      </c>
      <c r="E194" s="76">
        <f t="shared" si="8"/>
        <v>505.71641966036083</v>
      </c>
      <c r="F194" s="77">
        <f>$C$6-SUM($E$15:E194)</f>
        <v>44096.198997862746</v>
      </c>
    </row>
    <row r="195" spans="2:6" x14ac:dyDescent="0.35">
      <c r="B195" s="37">
        <v>181</v>
      </c>
      <c r="C195" s="76">
        <f t="shared" si="6"/>
        <v>773.32791216549947</v>
      </c>
      <c r="D195" s="76">
        <f t="shared" si="7"/>
        <v>264.57719398717643</v>
      </c>
      <c r="E195" s="76">
        <f t="shared" si="8"/>
        <v>508.75071817832304</v>
      </c>
      <c r="F195" s="77">
        <f>$C$6-SUM($E$15:E195)</f>
        <v>43587.448279684424</v>
      </c>
    </row>
    <row r="196" spans="2:6" x14ac:dyDescent="0.35">
      <c r="B196" s="37">
        <v>182</v>
      </c>
      <c r="C196" s="76">
        <f t="shared" si="6"/>
        <v>773.32791216549947</v>
      </c>
      <c r="D196" s="76">
        <f t="shared" si="7"/>
        <v>261.52468967810654</v>
      </c>
      <c r="E196" s="76">
        <f t="shared" si="8"/>
        <v>511.80322248739293</v>
      </c>
      <c r="F196" s="77">
        <f>$C$6-SUM($E$15:E196)</f>
        <v>43075.645057197034</v>
      </c>
    </row>
    <row r="197" spans="2:6" x14ac:dyDescent="0.35">
      <c r="B197" s="37">
        <v>183</v>
      </c>
      <c r="C197" s="76">
        <f t="shared" si="6"/>
        <v>773.32791216549947</v>
      </c>
      <c r="D197" s="76">
        <f t="shared" si="7"/>
        <v>258.45387034318219</v>
      </c>
      <c r="E197" s="76">
        <f t="shared" si="8"/>
        <v>514.87404182231728</v>
      </c>
      <c r="F197" s="77">
        <f>$C$6-SUM($E$15:E197)</f>
        <v>42560.771015374718</v>
      </c>
    </row>
    <row r="198" spans="2:6" x14ac:dyDescent="0.35">
      <c r="B198" s="37">
        <v>184</v>
      </c>
      <c r="C198" s="76">
        <f t="shared" si="6"/>
        <v>773.32791216549947</v>
      </c>
      <c r="D198" s="76">
        <f t="shared" si="7"/>
        <v>255.36462609224833</v>
      </c>
      <c r="E198" s="76">
        <f t="shared" si="8"/>
        <v>517.96328607325108</v>
      </c>
      <c r="F198" s="77">
        <f>$C$6-SUM($E$15:E198)</f>
        <v>42042.807729301465</v>
      </c>
    </row>
    <row r="199" spans="2:6" x14ac:dyDescent="0.35">
      <c r="B199" s="37">
        <v>185</v>
      </c>
      <c r="C199" s="76">
        <f t="shared" si="6"/>
        <v>773.32791216549947</v>
      </c>
      <c r="D199" s="76">
        <f t="shared" si="7"/>
        <v>252.25684637580881</v>
      </c>
      <c r="E199" s="76">
        <f t="shared" si="8"/>
        <v>521.07106578969069</v>
      </c>
      <c r="F199" s="77">
        <f>$C$6-SUM($E$15:E199)</f>
        <v>41521.736663511772</v>
      </c>
    </row>
    <row r="200" spans="2:6" x14ac:dyDescent="0.35">
      <c r="B200" s="37">
        <v>186</v>
      </c>
      <c r="C200" s="76">
        <f t="shared" si="6"/>
        <v>773.32791216549947</v>
      </c>
      <c r="D200" s="76">
        <f t="shared" si="7"/>
        <v>249.13041998107065</v>
      </c>
      <c r="E200" s="76">
        <f t="shared" si="8"/>
        <v>524.19749218442882</v>
      </c>
      <c r="F200" s="77">
        <f>$C$6-SUM($E$15:E200)</f>
        <v>40997.539171327342</v>
      </c>
    </row>
    <row r="201" spans="2:6" x14ac:dyDescent="0.35">
      <c r="B201" s="37">
        <v>187</v>
      </c>
      <c r="C201" s="76">
        <f t="shared" si="6"/>
        <v>773.32791216549947</v>
      </c>
      <c r="D201" s="76">
        <f t="shared" si="7"/>
        <v>245.98523502796405</v>
      </c>
      <c r="E201" s="76">
        <f t="shared" si="8"/>
        <v>527.34267713753547</v>
      </c>
      <c r="F201" s="77">
        <f>$C$6-SUM($E$15:E201)</f>
        <v>40470.196494189804</v>
      </c>
    </row>
    <row r="202" spans="2:6" x14ac:dyDescent="0.35">
      <c r="B202" s="37">
        <v>188</v>
      </c>
      <c r="C202" s="76">
        <f t="shared" si="6"/>
        <v>773.32791216549947</v>
      </c>
      <c r="D202" s="76">
        <f t="shared" si="7"/>
        <v>242.82117896513881</v>
      </c>
      <c r="E202" s="76">
        <f t="shared" si="8"/>
        <v>530.50673320036071</v>
      </c>
      <c r="F202" s="77">
        <f>$C$6-SUM($E$15:E202)</f>
        <v>39939.689760989444</v>
      </c>
    </row>
    <row r="203" spans="2:6" x14ac:dyDescent="0.35">
      <c r="B203" s="37">
        <v>189</v>
      </c>
      <c r="C203" s="76">
        <f t="shared" si="6"/>
        <v>773.32791216549947</v>
      </c>
      <c r="D203" s="76">
        <f t="shared" si="7"/>
        <v>239.63813856593666</v>
      </c>
      <c r="E203" s="76">
        <f t="shared" si="8"/>
        <v>533.68977359956284</v>
      </c>
      <c r="F203" s="77">
        <f>$C$6-SUM($E$15:E203)</f>
        <v>39405.999987389878</v>
      </c>
    </row>
    <row r="204" spans="2:6" x14ac:dyDescent="0.35">
      <c r="B204" s="37">
        <v>190</v>
      </c>
      <c r="C204" s="76">
        <f t="shared" si="6"/>
        <v>773.32791216549947</v>
      </c>
      <c r="D204" s="76">
        <f t="shared" si="7"/>
        <v>236.43599992433923</v>
      </c>
      <c r="E204" s="76">
        <f t="shared" si="8"/>
        <v>536.8919122411603</v>
      </c>
      <c r="F204" s="77">
        <f>$C$6-SUM($E$15:E204)</f>
        <v>38869.108075148717</v>
      </c>
    </row>
    <row r="205" spans="2:6" x14ac:dyDescent="0.35">
      <c r="B205" s="37">
        <v>191</v>
      </c>
      <c r="C205" s="76">
        <f t="shared" si="6"/>
        <v>773.32791216549947</v>
      </c>
      <c r="D205" s="76">
        <f t="shared" si="7"/>
        <v>233.2146484508923</v>
      </c>
      <c r="E205" s="76">
        <f t="shared" si="8"/>
        <v>540.11326371460723</v>
      </c>
      <c r="F205" s="77">
        <f>$C$6-SUM($E$15:E205)</f>
        <v>38328.99481143411</v>
      </c>
    </row>
    <row r="206" spans="2:6" x14ac:dyDescent="0.35">
      <c r="B206" s="37">
        <v>192</v>
      </c>
      <c r="C206" s="76">
        <f t="shared" si="6"/>
        <v>773.32791216549947</v>
      </c>
      <c r="D206" s="76">
        <f t="shared" si="7"/>
        <v>229.97396886860466</v>
      </c>
      <c r="E206" s="76">
        <f t="shared" si="8"/>
        <v>543.35394329689484</v>
      </c>
      <c r="F206" s="77">
        <f>$C$6-SUM($E$15:E206)</f>
        <v>37785.640868137212</v>
      </c>
    </row>
    <row r="207" spans="2:6" x14ac:dyDescent="0.35">
      <c r="B207" s="37">
        <v>193</v>
      </c>
      <c r="C207" s="76">
        <f t="shared" si="6"/>
        <v>773.32791216549947</v>
      </c>
      <c r="D207" s="76">
        <f t="shared" si="7"/>
        <v>226.71384520882324</v>
      </c>
      <c r="E207" s="76">
        <f t="shared" si="8"/>
        <v>546.6140669566762</v>
      </c>
      <c r="F207" s="77">
        <f>$C$6-SUM($E$15:E207)</f>
        <v>37239.026801180538</v>
      </c>
    </row>
    <row r="208" spans="2:6" x14ac:dyDescent="0.35">
      <c r="B208" s="37">
        <v>194</v>
      </c>
      <c r="C208" s="76">
        <f t="shared" ref="C208:C269" si="9">$C$11</f>
        <v>773.32791216549947</v>
      </c>
      <c r="D208" s="76">
        <f t="shared" si="7"/>
        <v>223.4341608070832</v>
      </c>
      <c r="E208" s="76">
        <f t="shared" si="8"/>
        <v>549.89375135841624</v>
      </c>
      <c r="F208" s="77">
        <f>$C$6-SUM($E$15:E208)</f>
        <v>36689.133049822121</v>
      </c>
    </row>
    <row r="209" spans="2:6" x14ac:dyDescent="0.35">
      <c r="B209" s="37">
        <v>195</v>
      </c>
      <c r="C209" s="76">
        <f t="shared" si="9"/>
        <v>773.32791216549947</v>
      </c>
      <c r="D209" s="76">
        <f t="shared" ref="D209:D266" si="10">F208*$C$7/$C$9</f>
        <v>220.13479829893271</v>
      </c>
      <c r="E209" s="76">
        <f t="shared" ref="E209:E266" si="11">C209-D209</f>
        <v>553.19311386656682</v>
      </c>
      <c r="F209" s="77">
        <f>$C$6-SUM($E$15:E209)</f>
        <v>36135.939935955554</v>
      </c>
    </row>
    <row r="210" spans="2:6" x14ac:dyDescent="0.35">
      <c r="B210" s="37">
        <v>196</v>
      </c>
      <c r="C210" s="76">
        <f t="shared" si="9"/>
        <v>773.32791216549947</v>
      </c>
      <c r="D210" s="76">
        <f t="shared" si="10"/>
        <v>216.81563961573335</v>
      </c>
      <c r="E210" s="76">
        <f t="shared" si="11"/>
        <v>556.51227254976607</v>
      </c>
      <c r="F210" s="77">
        <f>$C$6-SUM($E$15:E210)</f>
        <v>35579.42766340579</v>
      </c>
    </row>
    <row r="211" spans="2:6" x14ac:dyDescent="0.35">
      <c r="B211" s="37">
        <v>197</v>
      </c>
      <c r="C211" s="76">
        <f t="shared" si="9"/>
        <v>773.32791216549947</v>
      </c>
      <c r="D211" s="76">
        <f t="shared" si="10"/>
        <v>213.47656598043471</v>
      </c>
      <c r="E211" s="76">
        <f t="shared" si="11"/>
        <v>559.85134618506481</v>
      </c>
      <c r="F211" s="77">
        <f>$C$6-SUM($E$15:E211)</f>
        <v>35019.576317220723</v>
      </c>
    </row>
    <row r="212" spans="2:6" x14ac:dyDescent="0.35">
      <c r="B212" s="37">
        <v>198</v>
      </c>
      <c r="C212" s="76">
        <f t="shared" si="9"/>
        <v>773.32791216549947</v>
      </c>
      <c r="D212" s="76">
        <f t="shared" si="10"/>
        <v>210.11745790332435</v>
      </c>
      <c r="E212" s="76">
        <f t="shared" si="11"/>
        <v>563.21045426217506</v>
      </c>
      <c r="F212" s="77">
        <f>$C$6-SUM($E$15:E212)</f>
        <v>34456.365862958541</v>
      </c>
    </row>
    <row r="213" spans="2:6" x14ac:dyDescent="0.35">
      <c r="B213" s="37">
        <v>199</v>
      </c>
      <c r="C213" s="76">
        <f t="shared" si="9"/>
        <v>773.32791216549947</v>
      </c>
      <c r="D213" s="76">
        <f t="shared" si="10"/>
        <v>206.73819517775124</v>
      </c>
      <c r="E213" s="76">
        <f t="shared" si="11"/>
        <v>566.58971698774826</v>
      </c>
      <c r="F213" s="77">
        <f>$C$6-SUM($E$15:E213)</f>
        <v>33889.776145970798</v>
      </c>
    </row>
    <row r="214" spans="2:6" x14ac:dyDescent="0.35">
      <c r="B214" s="37">
        <v>200</v>
      </c>
      <c r="C214" s="76">
        <f t="shared" si="9"/>
        <v>773.32791216549947</v>
      </c>
      <c r="D214" s="76">
        <f t="shared" si="10"/>
        <v>203.3386568758248</v>
      </c>
      <c r="E214" s="76">
        <f t="shared" si="11"/>
        <v>569.9892552896747</v>
      </c>
      <c r="F214" s="77">
        <f>$C$6-SUM($E$15:E214)</f>
        <v>33319.78689068112</v>
      </c>
    </row>
    <row r="215" spans="2:6" x14ac:dyDescent="0.35">
      <c r="B215" s="37">
        <v>201</v>
      </c>
      <c r="C215" s="76">
        <f t="shared" si="9"/>
        <v>773.32791216549947</v>
      </c>
      <c r="D215" s="76">
        <f t="shared" si="10"/>
        <v>199.91872134408669</v>
      </c>
      <c r="E215" s="76">
        <f t="shared" si="11"/>
        <v>573.40919082141272</v>
      </c>
      <c r="F215" s="77">
        <f>$C$6-SUM($E$15:E215)</f>
        <v>32746.377699859702</v>
      </c>
    </row>
    <row r="216" spans="2:6" x14ac:dyDescent="0.35">
      <c r="B216" s="37">
        <v>202</v>
      </c>
      <c r="C216" s="76">
        <f t="shared" si="9"/>
        <v>773.32791216549947</v>
      </c>
      <c r="D216" s="76">
        <f t="shared" si="10"/>
        <v>196.47826619915821</v>
      </c>
      <c r="E216" s="76">
        <f t="shared" si="11"/>
        <v>576.84964596634131</v>
      </c>
      <c r="F216" s="77">
        <f>$C$6-SUM($E$15:E216)</f>
        <v>32169.528053893358</v>
      </c>
    </row>
    <row r="217" spans="2:6" x14ac:dyDescent="0.35">
      <c r="B217" s="37">
        <v>203</v>
      </c>
      <c r="C217" s="76">
        <f t="shared" si="9"/>
        <v>773.32791216549947</v>
      </c>
      <c r="D217" s="76">
        <f t="shared" si="10"/>
        <v>193.01716832336015</v>
      </c>
      <c r="E217" s="76">
        <f t="shared" si="11"/>
        <v>580.31074384213935</v>
      </c>
      <c r="F217" s="77">
        <f>$C$6-SUM($E$15:E217)</f>
        <v>31589.217310051215</v>
      </c>
    </row>
    <row r="218" spans="2:6" x14ac:dyDescent="0.35">
      <c r="B218" s="37">
        <v>204</v>
      </c>
      <c r="C218" s="76">
        <f t="shared" si="9"/>
        <v>773.32791216549947</v>
      </c>
      <c r="D218" s="76">
        <f t="shared" si="10"/>
        <v>189.53530386030729</v>
      </c>
      <c r="E218" s="76">
        <f t="shared" si="11"/>
        <v>583.79260830519218</v>
      </c>
      <c r="F218" s="77">
        <f>$C$6-SUM($E$15:E218)</f>
        <v>31005.424701746029</v>
      </c>
    </row>
    <row r="219" spans="2:6" x14ac:dyDescent="0.35">
      <c r="B219" s="37">
        <v>205</v>
      </c>
      <c r="C219" s="76">
        <f t="shared" si="9"/>
        <v>773.32791216549947</v>
      </c>
      <c r="D219" s="76">
        <f t="shared" si="10"/>
        <v>186.03254821047616</v>
      </c>
      <c r="E219" s="76">
        <f t="shared" si="11"/>
        <v>587.29536395502328</v>
      </c>
      <c r="F219" s="77">
        <f>$C$6-SUM($E$15:E219)</f>
        <v>30418.129337791004</v>
      </c>
    </row>
    <row r="220" spans="2:6" x14ac:dyDescent="0.35">
      <c r="B220" s="37">
        <v>206</v>
      </c>
      <c r="C220" s="76">
        <f t="shared" si="9"/>
        <v>773.32791216549947</v>
      </c>
      <c r="D220" s="76">
        <f t="shared" si="10"/>
        <v>182.50877602674603</v>
      </c>
      <c r="E220" s="76">
        <f t="shared" si="11"/>
        <v>590.81913613875349</v>
      </c>
      <c r="F220" s="77">
        <f>$C$6-SUM($E$15:E220)</f>
        <v>29827.310201652246</v>
      </c>
    </row>
    <row r="221" spans="2:6" x14ac:dyDescent="0.35">
      <c r="B221" s="37">
        <v>207</v>
      </c>
      <c r="C221" s="76">
        <f t="shared" si="9"/>
        <v>773.32791216549947</v>
      </c>
      <c r="D221" s="76">
        <f t="shared" si="10"/>
        <v>178.96386120991346</v>
      </c>
      <c r="E221" s="76">
        <f t="shared" si="11"/>
        <v>594.36405095558598</v>
      </c>
      <c r="F221" s="77">
        <f>$C$6-SUM($E$15:E221)</f>
        <v>29232.946150696662</v>
      </c>
    </row>
    <row r="222" spans="2:6" x14ac:dyDescent="0.35">
      <c r="B222" s="37">
        <v>208</v>
      </c>
      <c r="C222" s="76">
        <f t="shared" si="9"/>
        <v>773.32791216549947</v>
      </c>
      <c r="D222" s="76">
        <f t="shared" si="10"/>
        <v>175.39767690417995</v>
      </c>
      <c r="E222" s="76">
        <f t="shared" si="11"/>
        <v>597.93023526131947</v>
      </c>
      <c r="F222" s="77">
        <f>$C$6-SUM($E$15:E222)</f>
        <v>28635.015915435346</v>
      </c>
    </row>
    <row r="223" spans="2:6" x14ac:dyDescent="0.35">
      <c r="B223" s="37">
        <v>209</v>
      </c>
      <c r="C223" s="76">
        <f t="shared" si="9"/>
        <v>773.32791216549947</v>
      </c>
      <c r="D223" s="76">
        <f t="shared" si="10"/>
        <v>171.81009549261208</v>
      </c>
      <c r="E223" s="76">
        <f t="shared" si="11"/>
        <v>601.51781667288742</v>
      </c>
      <c r="F223" s="77">
        <f>$C$6-SUM($E$15:E223)</f>
        <v>28033.498098762459</v>
      </c>
    </row>
    <row r="224" spans="2:6" x14ac:dyDescent="0.35">
      <c r="B224" s="37">
        <v>210</v>
      </c>
      <c r="C224" s="76">
        <f t="shared" si="9"/>
        <v>773.32791216549947</v>
      </c>
      <c r="D224" s="76">
        <f t="shared" si="10"/>
        <v>168.20098859257476</v>
      </c>
      <c r="E224" s="76">
        <f t="shared" si="11"/>
        <v>605.12692357292474</v>
      </c>
      <c r="F224" s="77">
        <f>$C$6-SUM($E$15:E224)</f>
        <v>27428.371175189532</v>
      </c>
    </row>
    <row r="225" spans="2:6" x14ac:dyDescent="0.35">
      <c r="B225" s="37">
        <v>211</v>
      </c>
      <c r="C225" s="76">
        <f t="shared" si="9"/>
        <v>773.32791216549947</v>
      </c>
      <c r="D225" s="76">
        <f t="shared" si="10"/>
        <v>164.57022705113718</v>
      </c>
      <c r="E225" s="76">
        <f t="shared" si="11"/>
        <v>608.75768511436229</v>
      </c>
      <c r="F225" s="77">
        <f>$C$6-SUM($E$15:E225)</f>
        <v>26819.613490075164</v>
      </c>
    </row>
    <row r="226" spans="2:6" x14ac:dyDescent="0.35">
      <c r="B226" s="37">
        <v>212</v>
      </c>
      <c r="C226" s="76">
        <f t="shared" si="9"/>
        <v>773.32791216549947</v>
      </c>
      <c r="D226" s="76">
        <f t="shared" si="10"/>
        <v>160.91768094045099</v>
      </c>
      <c r="E226" s="76">
        <f t="shared" si="11"/>
        <v>612.41023122504851</v>
      </c>
      <c r="F226" s="77">
        <f>$C$6-SUM($E$15:E226)</f>
        <v>26207.203258850117</v>
      </c>
    </row>
    <row r="227" spans="2:6" x14ac:dyDescent="0.35">
      <c r="B227" s="37">
        <v>213</v>
      </c>
      <c r="C227" s="76">
        <f t="shared" si="9"/>
        <v>773.32791216549947</v>
      </c>
      <c r="D227" s="76">
        <f t="shared" si="10"/>
        <v>157.24321955310069</v>
      </c>
      <c r="E227" s="76">
        <f t="shared" si="11"/>
        <v>616.08469261239884</v>
      </c>
      <c r="F227" s="77">
        <f>$C$6-SUM($E$15:E227)</f>
        <v>25591.118566237725</v>
      </c>
    </row>
    <row r="228" spans="2:6" x14ac:dyDescent="0.35">
      <c r="B228" s="37">
        <v>214</v>
      </c>
      <c r="C228" s="76">
        <f t="shared" si="9"/>
        <v>773.32791216549947</v>
      </c>
      <c r="D228" s="76">
        <f t="shared" si="10"/>
        <v>153.54671139742635</v>
      </c>
      <c r="E228" s="76">
        <f t="shared" si="11"/>
        <v>619.78120076807318</v>
      </c>
      <c r="F228" s="77">
        <f>$C$6-SUM($E$15:E228)</f>
        <v>24971.337365469648</v>
      </c>
    </row>
    <row r="229" spans="2:6" x14ac:dyDescent="0.35">
      <c r="B229" s="37">
        <v>215</v>
      </c>
      <c r="C229" s="76">
        <f t="shared" si="9"/>
        <v>773.32791216549947</v>
      </c>
      <c r="D229" s="76">
        <f t="shared" si="10"/>
        <v>149.82802419281788</v>
      </c>
      <c r="E229" s="76">
        <f t="shared" si="11"/>
        <v>623.49988797268156</v>
      </c>
      <c r="F229" s="77">
        <f>$C$6-SUM($E$15:E229)</f>
        <v>24347.837477496971</v>
      </c>
    </row>
    <row r="230" spans="2:6" x14ac:dyDescent="0.35">
      <c r="B230" s="37">
        <v>216</v>
      </c>
      <c r="C230" s="76">
        <f t="shared" si="9"/>
        <v>773.32791216549947</v>
      </c>
      <c r="D230" s="76">
        <f t="shared" si="10"/>
        <v>146.08702486498183</v>
      </c>
      <c r="E230" s="76">
        <f t="shared" si="11"/>
        <v>627.24088730051767</v>
      </c>
      <c r="F230" s="77">
        <f>$C$6-SUM($E$15:E230)</f>
        <v>23720.596590196452</v>
      </c>
    </row>
    <row r="231" spans="2:6" x14ac:dyDescent="0.35">
      <c r="B231" s="37">
        <v>217</v>
      </c>
      <c r="C231" s="76">
        <f t="shared" si="9"/>
        <v>773.32791216549947</v>
      </c>
      <c r="D231" s="76">
        <f t="shared" si="10"/>
        <v>142.3235795411787</v>
      </c>
      <c r="E231" s="76">
        <f t="shared" si="11"/>
        <v>631.0043326243208</v>
      </c>
      <c r="F231" s="77">
        <f>$C$6-SUM($E$15:E231)</f>
        <v>23089.592257572134</v>
      </c>
    </row>
    <row r="232" spans="2:6" x14ac:dyDescent="0.35">
      <c r="B232" s="37">
        <v>218</v>
      </c>
      <c r="C232" s="76">
        <f t="shared" si="9"/>
        <v>773.32791216549947</v>
      </c>
      <c r="D232" s="76">
        <f t="shared" si="10"/>
        <v>138.53755354543279</v>
      </c>
      <c r="E232" s="76">
        <f t="shared" si="11"/>
        <v>634.79035862006663</v>
      </c>
      <c r="F232" s="77">
        <f>$C$6-SUM($E$15:E232)</f>
        <v>22454.801898952064</v>
      </c>
    </row>
    <row r="233" spans="2:6" x14ac:dyDescent="0.35">
      <c r="B233" s="37">
        <v>219</v>
      </c>
      <c r="C233" s="76">
        <f t="shared" si="9"/>
        <v>773.32791216549947</v>
      </c>
      <c r="D233" s="76">
        <f t="shared" si="10"/>
        <v>134.72881139371239</v>
      </c>
      <c r="E233" s="76">
        <f t="shared" si="11"/>
        <v>638.59910077178711</v>
      </c>
      <c r="F233" s="77">
        <f>$C$6-SUM($E$15:E233)</f>
        <v>21816.202798180282</v>
      </c>
    </row>
    <row r="234" spans="2:6" x14ac:dyDescent="0.35">
      <c r="B234" s="37">
        <v>220</v>
      </c>
      <c r="C234" s="76">
        <f t="shared" si="9"/>
        <v>773.32791216549947</v>
      </c>
      <c r="D234" s="76">
        <f t="shared" si="10"/>
        <v>130.89721678908171</v>
      </c>
      <c r="E234" s="76">
        <f t="shared" si="11"/>
        <v>642.43069537641782</v>
      </c>
      <c r="F234" s="77">
        <f>$C$6-SUM($E$15:E234)</f>
        <v>21173.772102803865</v>
      </c>
    </row>
    <row r="235" spans="2:6" x14ac:dyDescent="0.35">
      <c r="B235" s="37">
        <v>221</v>
      </c>
      <c r="C235" s="76">
        <f t="shared" si="9"/>
        <v>773.32791216549947</v>
      </c>
      <c r="D235" s="76">
        <f t="shared" si="10"/>
        <v>127.04263261682317</v>
      </c>
      <c r="E235" s="76">
        <f t="shared" si="11"/>
        <v>646.28527954867627</v>
      </c>
      <c r="F235" s="77">
        <f>$C$6-SUM($E$15:E235)</f>
        <v>20527.486823255182</v>
      </c>
    </row>
    <row r="236" spans="2:6" x14ac:dyDescent="0.35">
      <c r="B236" s="37">
        <v>222</v>
      </c>
      <c r="C236" s="76">
        <f t="shared" si="9"/>
        <v>773.32791216549947</v>
      </c>
      <c r="D236" s="76">
        <f t="shared" si="10"/>
        <v>123.16492093953109</v>
      </c>
      <c r="E236" s="76">
        <f t="shared" si="11"/>
        <v>650.16299122596843</v>
      </c>
      <c r="F236" s="77">
        <f>$C$6-SUM($E$15:E236)</f>
        <v>19877.323832029215</v>
      </c>
    </row>
    <row r="237" spans="2:6" x14ac:dyDescent="0.35">
      <c r="B237" s="37">
        <v>223</v>
      </c>
      <c r="C237" s="76">
        <f t="shared" si="9"/>
        <v>773.32791216549947</v>
      </c>
      <c r="D237" s="76">
        <f t="shared" si="10"/>
        <v>119.26394299217529</v>
      </c>
      <c r="E237" s="76">
        <f t="shared" si="11"/>
        <v>654.06396917332415</v>
      </c>
      <c r="F237" s="77">
        <f>$C$6-SUM($E$15:E237)</f>
        <v>19223.259862855892</v>
      </c>
    </row>
    <row r="238" spans="2:6" x14ac:dyDescent="0.35">
      <c r="B238" s="37">
        <v>224</v>
      </c>
      <c r="C238" s="76">
        <f t="shared" si="9"/>
        <v>773.32791216549947</v>
      </c>
      <c r="D238" s="76">
        <f t="shared" si="10"/>
        <v>115.33955917713536</v>
      </c>
      <c r="E238" s="76">
        <f t="shared" si="11"/>
        <v>657.98835298836411</v>
      </c>
      <c r="F238" s="77">
        <f>$C$6-SUM($E$15:E238)</f>
        <v>18565.271509867525</v>
      </c>
    </row>
    <row r="239" spans="2:6" x14ac:dyDescent="0.35">
      <c r="B239" s="37">
        <v>225</v>
      </c>
      <c r="C239" s="76">
        <f t="shared" si="9"/>
        <v>773.32791216549947</v>
      </c>
      <c r="D239" s="76">
        <f t="shared" si="10"/>
        <v>111.39162905920514</v>
      </c>
      <c r="E239" s="76">
        <f t="shared" si="11"/>
        <v>661.93628310629435</v>
      </c>
      <c r="F239" s="77">
        <f>$C$6-SUM($E$15:E239)</f>
        <v>17903.335226761235</v>
      </c>
    </row>
    <row r="240" spans="2:6" x14ac:dyDescent="0.35">
      <c r="B240" s="37">
        <v>226</v>
      </c>
      <c r="C240" s="76">
        <f t="shared" si="9"/>
        <v>773.32791216549947</v>
      </c>
      <c r="D240" s="76">
        <f t="shared" si="10"/>
        <v>107.4200113605674</v>
      </c>
      <c r="E240" s="76">
        <f t="shared" si="11"/>
        <v>665.90790080493207</v>
      </c>
      <c r="F240" s="77">
        <f>$C$6-SUM($E$15:E240)</f>
        <v>17237.427325956305</v>
      </c>
    </row>
    <row r="241" spans="2:6" x14ac:dyDescent="0.35">
      <c r="B241" s="37">
        <v>227</v>
      </c>
      <c r="C241" s="76">
        <f t="shared" si="9"/>
        <v>773.32791216549947</v>
      </c>
      <c r="D241" s="76">
        <f t="shared" si="10"/>
        <v>103.42456395573784</v>
      </c>
      <c r="E241" s="76">
        <f t="shared" si="11"/>
        <v>669.90334820976159</v>
      </c>
      <c r="F241" s="77">
        <f>$C$6-SUM($E$15:E241)</f>
        <v>16567.523977746547</v>
      </c>
    </row>
    <row r="242" spans="2:6" x14ac:dyDescent="0.35">
      <c r="B242" s="37">
        <v>228</v>
      </c>
      <c r="C242" s="76">
        <f t="shared" si="9"/>
        <v>773.32791216549947</v>
      </c>
      <c r="D242" s="76">
        <f t="shared" si="10"/>
        <v>99.405143866479278</v>
      </c>
      <c r="E242" s="76">
        <f t="shared" si="11"/>
        <v>673.92276829902016</v>
      </c>
      <c r="F242" s="77">
        <f>$C$6-SUM($E$15:E242)</f>
        <v>15893.60120944753</v>
      </c>
    </row>
    <row r="243" spans="2:6" x14ac:dyDescent="0.35">
      <c r="B243" s="37">
        <v>229</v>
      </c>
      <c r="C243" s="76">
        <f t="shared" si="9"/>
        <v>773.32791216549947</v>
      </c>
      <c r="D243" s="76">
        <f t="shared" si="10"/>
        <v>95.361607256685176</v>
      </c>
      <c r="E243" s="76">
        <f t="shared" si="11"/>
        <v>677.96630490881432</v>
      </c>
      <c r="F243" s="77">
        <f>$C$6-SUM($E$15:E243)</f>
        <v>15215.634904538718</v>
      </c>
    </row>
    <row r="244" spans="2:6" x14ac:dyDescent="0.35">
      <c r="B244" s="37">
        <v>230</v>
      </c>
      <c r="C244" s="76">
        <f t="shared" si="9"/>
        <v>773.32791216549947</v>
      </c>
      <c r="D244" s="76">
        <f t="shared" si="10"/>
        <v>91.293809427232304</v>
      </c>
      <c r="E244" s="76">
        <f t="shared" si="11"/>
        <v>682.03410273826717</v>
      </c>
      <c r="F244" s="77">
        <f>$C$6-SUM($E$15:E244)</f>
        <v>14533.60080180045</v>
      </c>
    </row>
    <row r="245" spans="2:6" x14ac:dyDescent="0.35">
      <c r="B245" s="37">
        <v>231</v>
      </c>
      <c r="C245" s="76">
        <f t="shared" si="9"/>
        <v>773.32791216549947</v>
      </c>
      <c r="D245" s="76">
        <f t="shared" si="10"/>
        <v>87.201604810802706</v>
      </c>
      <c r="E245" s="76">
        <f t="shared" si="11"/>
        <v>686.12630735469679</v>
      </c>
      <c r="F245" s="77">
        <f>$C$6-SUM($E$15:E245)</f>
        <v>13847.474494445749</v>
      </c>
    </row>
    <row r="246" spans="2:6" x14ac:dyDescent="0.35">
      <c r="B246" s="37">
        <v>232</v>
      </c>
      <c r="C246" s="76">
        <f t="shared" si="9"/>
        <v>773.32791216549947</v>
      </c>
      <c r="D246" s="76">
        <f t="shared" si="10"/>
        <v>83.08484696667449</v>
      </c>
      <c r="E246" s="76">
        <f t="shared" si="11"/>
        <v>690.24306519882498</v>
      </c>
      <c r="F246" s="77">
        <f>$C$6-SUM($E$15:E246)</f>
        <v>13157.231429246924</v>
      </c>
    </row>
    <row r="247" spans="2:6" x14ac:dyDescent="0.35">
      <c r="B247" s="37">
        <v>233</v>
      </c>
      <c r="C247" s="76">
        <f t="shared" si="9"/>
        <v>773.32791216549947</v>
      </c>
      <c r="D247" s="76">
        <f t="shared" si="10"/>
        <v>78.943388575481535</v>
      </c>
      <c r="E247" s="76">
        <f t="shared" si="11"/>
        <v>694.38452359001792</v>
      </c>
      <c r="F247" s="77">
        <f>$C$6-SUM($E$15:E247)</f>
        <v>12462.846905656901</v>
      </c>
    </row>
    <row r="248" spans="2:6" x14ac:dyDescent="0.35">
      <c r="B248" s="37">
        <v>234</v>
      </c>
      <c r="C248" s="76">
        <f t="shared" si="9"/>
        <v>773.32791216549947</v>
      </c>
      <c r="D248" s="76">
        <f t="shared" si="10"/>
        <v>74.777081433941404</v>
      </c>
      <c r="E248" s="76">
        <f t="shared" si="11"/>
        <v>698.55083073155811</v>
      </c>
      <c r="F248" s="77">
        <f>$C$6-SUM($E$15:E248)</f>
        <v>11764.29607492534</v>
      </c>
    </row>
    <row r="249" spans="2:6" x14ac:dyDescent="0.35">
      <c r="B249" s="37">
        <v>235</v>
      </c>
      <c r="C249" s="76">
        <f t="shared" si="9"/>
        <v>773.32791216549947</v>
      </c>
      <c r="D249" s="76">
        <f t="shared" si="10"/>
        <v>70.585776449552029</v>
      </c>
      <c r="E249" s="76">
        <f t="shared" si="11"/>
        <v>702.74213571594748</v>
      </c>
      <c r="F249" s="77">
        <f>$C$6-SUM($E$15:E249)</f>
        <v>11061.553939209392</v>
      </c>
    </row>
    <row r="250" spans="2:6" x14ac:dyDescent="0.35">
      <c r="B250" s="37">
        <v>236</v>
      </c>
      <c r="C250" s="76">
        <f t="shared" si="9"/>
        <v>773.32791216549947</v>
      </c>
      <c r="D250" s="76">
        <f t="shared" si="10"/>
        <v>66.36932363525635</v>
      </c>
      <c r="E250" s="76">
        <f t="shared" si="11"/>
        <v>706.95858853024311</v>
      </c>
      <c r="F250" s="77">
        <f>$C$6-SUM($E$15:E250)</f>
        <v>10354.595350679156</v>
      </c>
    </row>
    <row r="251" spans="2:6" x14ac:dyDescent="0.35">
      <c r="B251" s="37">
        <v>237</v>
      </c>
      <c r="C251" s="76">
        <f t="shared" si="9"/>
        <v>773.32791216549947</v>
      </c>
      <c r="D251" s="76">
        <f t="shared" si="10"/>
        <v>62.127572104074929</v>
      </c>
      <c r="E251" s="76">
        <f t="shared" si="11"/>
        <v>711.20034006142453</v>
      </c>
      <c r="F251" s="77">
        <f>$C$6-SUM($E$15:E251)</f>
        <v>9643.3950106177363</v>
      </c>
    </row>
    <row r="252" spans="2:6" x14ac:dyDescent="0.35">
      <c r="B252" s="37">
        <v>238</v>
      </c>
      <c r="C252" s="76">
        <f t="shared" si="9"/>
        <v>773.32791216549947</v>
      </c>
      <c r="D252" s="76">
        <f t="shared" si="10"/>
        <v>57.860370063706419</v>
      </c>
      <c r="E252" s="76">
        <f t="shared" si="11"/>
        <v>715.46754210179301</v>
      </c>
      <c r="F252" s="77">
        <f>$C$6-SUM($E$15:E252)</f>
        <v>8927.9274685159471</v>
      </c>
    </row>
    <row r="253" spans="2:6" x14ac:dyDescent="0.35">
      <c r="B253" s="37">
        <v>239</v>
      </c>
      <c r="C253" s="76">
        <f t="shared" si="9"/>
        <v>773.32791216549947</v>
      </c>
      <c r="D253" s="76">
        <f t="shared" si="10"/>
        <v>53.567564811095679</v>
      </c>
      <c r="E253" s="76">
        <f t="shared" si="11"/>
        <v>719.76034735440385</v>
      </c>
      <c r="F253" s="77">
        <f>$C$6-SUM($E$15:E253)</f>
        <v>8208.1671211615467</v>
      </c>
    </row>
    <row r="254" spans="2:6" x14ac:dyDescent="0.35">
      <c r="B254" s="37">
        <v>240</v>
      </c>
      <c r="C254" s="76">
        <f t="shared" si="9"/>
        <v>773.32791216549947</v>
      </c>
      <c r="D254" s="76">
        <f t="shared" si="10"/>
        <v>49.24900272696928</v>
      </c>
      <c r="E254" s="76">
        <f t="shared" si="11"/>
        <v>724.07890943853022</v>
      </c>
      <c r="F254" s="77">
        <f>$C$6-SUM($E$15:E254)</f>
        <v>7484.0882117230212</v>
      </c>
    </row>
    <row r="255" spans="2:6" x14ac:dyDescent="0.35">
      <c r="B255" s="37">
        <v>241</v>
      </c>
      <c r="C255" s="76">
        <f t="shared" si="9"/>
        <v>773.32791216549947</v>
      </c>
      <c r="D255" s="76">
        <f t="shared" si="10"/>
        <v>44.904529270338131</v>
      </c>
      <c r="E255" s="76">
        <f t="shared" si="11"/>
        <v>728.42338289516135</v>
      </c>
      <c r="F255" s="77">
        <f>$C$6-SUM($E$15:E255)</f>
        <v>6755.6648288278666</v>
      </c>
    </row>
    <row r="256" spans="2:6" x14ac:dyDescent="0.35">
      <c r="B256" s="37">
        <v>242</v>
      </c>
      <c r="C256" s="76">
        <f t="shared" si="9"/>
        <v>773.32791216549947</v>
      </c>
      <c r="D256" s="76">
        <f t="shared" si="10"/>
        <v>40.533988972967201</v>
      </c>
      <c r="E256" s="76">
        <f t="shared" si="11"/>
        <v>732.79392319253225</v>
      </c>
      <c r="F256" s="77">
        <f>$C$6-SUM($E$15:E256)</f>
        <v>6022.87090563534</v>
      </c>
    </row>
    <row r="257" spans="1:6" x14ac:dyDescent="0.35">
      <c r="B257" s="37">
        <v>243</v>
      </c>
      <c r="C257" s="76">
        <f t="shared" si="9"/>
        <v>773.32791216549947</v>
      </c>
      <c r="D257" s="76">
        <f t="shared" si="10"/>
        <v>36.137225433812041</v>
      </c>
      <c r="E257" s="76">
        <f t="shared" si="11"/>
        <v>737.19068673168738</v>
      </c>
      <c r="F257" s="77">
        <f>$C$6-SUM($E$15:E257)</f>
        <v>5285.6802189036534</v>
      </c>
    </row>
    <row r="258" spans="1:6" x14ac:dyDescent="0.35">
      <c r="B258" s="37">
        <v>244</v>
      </c>
      <c r="C258" s="76">
        <f t="shared" si="9"/>
        <v>773.32791216549947</v>
      </c>
      <c r="D258" s="76">
        <f t="shared" si="10"/>
        <v>31.714081313421918</v>
      </c>
      <c r="E258" s="76">
        <f t="shared" si="11"/>
        <v>741.61383085207751</v>
      </c>
      <c r="F258" s="77">
        <f>$C$6-SUM($E$15:E258)</f>
        <v>4544.0663880515785</v>
      </c>
    </row>
    <row r="259" spans="1:6" x14ac:dyDescent="0.35">
      <c r="B259" s="37">
        <v>245</v>
      </c>
      <c r="C259" s="76">
        <f t="shared" si="9"/>
        <v>773.32791216549947</v>
      </c>
      <c r="D259" s="76">
        <f t="shared" si="10"/>
        <v>27.264398328309472</v>
      </c>
      <c r="E259" s="76">
        <f t="shared" si="11"/>
        <v>746.06351383719004</v>
      </c>
      <c r="F259" s="77">
        <f>$C$6-SUM($E$15:E259)</f>
        <v>3798.0028742143913</v>
      </c>
    </row>
    <row r="260" spans="1:6" x14ac:dyDescent="0.35">
      <c r="B260" s="37">
        <v>246</v>
      </c>
      <c r="C260" s="76">
        <f t="shared" si="9"/>
        <v>773.32791216549947</v>
      </c>
      <c r="D260" s="76">
        <f t="shared" si="10"/>
        <v>22.788017245286348</v>
      </c>
      <c r="E260" s="76">
        <f t="shared" si="11"/>
        <v>750.5398949202131</v>
      </c>
      <c r="F260" s="77">
        <f>$C$6-SUM($E$15:E260)</f>
        <v>3047.4629792941851</v>
      </c>
    </row>
    <row r="261" spans="1:6" x14ac:dyDescent="0.35">
      <c r="B261" s="37">
        <v>247</v>
      </c>
      <c r="C261" s="76">
        <f t="shared" si="9"/>
        <v>773.32791216549947</v>
      </c>
      <c r="D261" s="76">
        <f t="shared" si="10"/>
        <v>18.284777875765108</v>
      </c>
      <c r="E261" s="76">
        <f t="shared" si="11"/>
        <v>755.04313428973433</v>
      </c>
      <c r="F261" s="77">
        <f>$C$6-SUM($E$15:E261)</f>
        <v>2292.4198450044496</v>
      </c>
    </row>
    <row r="262" spans="1:6" x14ac:dyDescent="0.35">
      <c r="B262" s="37">
        <v>248</v>
      </c>
      <c r="C262" s="76">
        <f t="shared" si="9"/>
        <v>773.32791216549947</v>
      </c>
      <c r="D262" s="76">
        <f t="shared" si="10"/>
        <v>13.754519070026697</v>
      </c>
      <c r="E262" s="76">
        <f t="shared" si="11"/>
        <v>759.57339309547274</v>
      </c>
      <c r="F262" s="77">
        <f>$C$6-SUM($E$15:E262)</f>
        <v>1532.8464519089757</v>
      </c>
    </row>
    <row r="263" spans="1:6" x14ac:dyDescent="0.35">
      <c r="B263" s="37">
        <v>249</v>
      </c>
      <c r="C263" s="76">
        <f t="shared" si="9"/>
        <v>773.32791216549947</v>
      </c>
      <c r="D263" s="76">
        <f t="shared" si="10"/>
        <v>9.1970787114538535</v>
      </c>
      <c r="E263" s="76">
        <f t="shared" si="11"/>
        <v>764.13083345404561</v>
      </c>
      <c r="F263" s="77">
        <f>$C$6-SUM($E$15:E263)</f>
        <v>768.71561845492397</v>
      </c>
    </row>
    <row r="264" spans="1:6" x14ac:dyDescent="0.35">
      <c r="A264" s="2"/>
      <c r="B264" s="3">
        <v>250</v>
      </c>
      <c r="C264" s="3">
        <f t="shared" si="9"/>
        <v>773.32791216549947</v>
      </c>
      <c r="D264" s="3">
        <f t="shared" si="10"/>
        <v>4.6122937107295439</v>
      </c>
      <c r="E264" s="3">
        <f t="shared" si="11"/>
        <v>768.71561845476992</v>
      </c>
      <c r="F264" s="3">
        <f>$C$6-SUM($E$15:E264)</f>
        <v>1.6007106751203537E-10</v>
      </c>
    </row>
    <row r="265" spans="1:6" x14ac:dyDescent="0.35">
      <c r="B265" s="37">
        <v>251</v>
      </c>
      <c r="C265" s="76">
        <f t="shared" si="9"/>
        <v>773.32791216549947</v>
      </c>
      <c r="D265" s="76">
        <f t="shared" si="10"/>
        <v>9.6042640507221206E-13</v>
      </c>
      <c r="E265" s="76">
        <f t="shared" si="11"/>
        <v>773.32791216549856</v>
      </c>
      <c r="F265" s="77">
        <f>$C$6-SUM($E$15:E265)</f>
        <v>-773.32791216533224</v>
      </c>
    </row>
    <row r="266" spans="1:6" x14ac:dyDescent="0.35">
      <c r="B266" s="37">
        <v>252</v>
      </c>
      <c r="C266" s="76">
        <f t="shared" si="9"/>
        <v>773.32791216549947</v>
      </c>
      <c r="D266" s="76">
        <f t="shared" si="10"/>
        <v>-4.6399674729919926</v>
      </c>
      <c r="E266" s="76">
        <f t="shared" si="11"/>
        <v>777.96787963849147</v>
      </c>
      <c r="F266" s="77">
        <f>$C$6-SUM($E$15:E266)</f>
        <v>-1551.2957918038301</v>
      </c>
    </row>
    <row r="267" spans="1:6" x14ac:dyDescent="0.35">
      <c r="B267" s="37">
        <v>253</v>
      </c>
      <c r="C267" s="76">
        <f t="shared" si="9"/>
        <v>773.32791216549947</v>
      </c>
      <c r="D267" s="76">
        <f t="shared" ref="D267:D269" si="12">F266*$C$7/$C$9</f>
        <v>-9.3077747508229809</v>
      </c>
      <c r="E267" s="76">
        <f t="shared" ref="E267:E269" si="13">C267-D267</f>
        <v>782.63568691632247</v>
      </c>
      <c r="F267" s="77">
        <f>$C$6-SUM($E$15:E267)</f>
        <v>-2333.9314787201583</v>
      </c>
    </row>
    <row r="268" spans="1:6" x14ac:dyDescent="0.35">
      <c r="B268" s="37">
        <v>254</v>
      </c>
      <c r="C268" s="76">
        <f t="shared" si="9"/>
        <v>773.32791216549947</v>
      </c>
      <c r="D268" s="76">
        <f t="shared" si="12"/>
        <v>-14.00358887232095</v>
      </c>
      <c r="E268" s="76">
        <f t="shared" si="13"/>
        <v>787.33150103782043</v>
      </c>
      <c r="F268" s="77">
        <f>$C$6-SUM($E$15:E268)</f>
        <v>-3121.2629797579721</v>
      </c>
    </row>
    <row r="269" spans="1:6" ht="15" thickBot="1" x14ac:dyDescent="0.4">
      <c r="B269" s="38">
        <v>255</v>
      </c>
      <c r="C269" s="80">
        <f t="shared" si="9"/>
        <v>773.32791216549947</v>
      </c>
      <c r="D269" s="80">
        <f t="shared" si="12"/>
        <v>-18.72757787854783</v>
      </c>
      <c r="E269" s="80">
        <f t="shared" si="13"/>
        <v>792.05549004404725</v>
      </c>
      <c r="F269" s="129">
        <f>$C$6-SUM($E$15:E269)</f>
        <v>-3913.3184698020195</v>
      </c>
    </row>
  </sheetData>
  <mergeCells count="1">
    <mergeCell ref="F2:H3"/>
  </mergeCells>
  <hyperlinks>
    <hyperlink ref="J30" r:id="rId1" xr:uid="{570F4B21-EA52-4E46-98D8-D840A9A44CCC}"/>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chedule_Button1_Click">
                <anchor moveWithCells="1" sizeWithCells="1">
                  <from>
                    <xdr:col>0</xdr:col>
                    <xdr:colOff>412750</xdr:colOff>
                    <xdr:row>0</xdr:row>
                    <xdr:rowOff>177800</xdr:rowOff>
                  </from>
                  <to>
                    <xdr:col>2</xdr:col>
                    <xdr:colOff>6350</xdr:colOff>
                    <xdr:row>3</xdr:row>
                    <xdr:rowOff>139700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C9F871-5EFA-48FA-96E2-ACC46F3EAA33}">
  <sheetPr codeName="Sheet15">
    <tabColor rgb="FF00B050"/>
  </sheetPr>
  <dimension ref="A1:H20"/>
  <sheetViews>
    <sheetView workbookViewId="0">
      <selection activeCell="F2" sqref="F2:H3"/>
    </sheetView>
  </sheetViews>
  <sheetFormatPr defaultRowHeight="14.5" x14ac:dyDescent="0.35"/>
  <cols>
    <col min="1" max="1" width="11.36328125" bestFit="1" customWidth="1"/>
  </cols>
  <sheetData>
    <row r="1" spans="1:8" ht="15" thickBot="1" x14ac:dyDescent="0.4"/>
    <row r="2" spans="1:8" x14ac:dyDescent="0.35">
      <c r="F2" s="206" t="s">
        <v>128</v>
      </c>
      <c r="G2" s="207"/>
      <c r="H2" s="208"/>
    </row>
    <row r="3" spans="1:8" ht="15" thickBot="1" x14ac:dyDescent="0.4">
      <c r="F3" s="209"/>
      <c r="G3" s="210"/>
      <c r="H3" s="211"/>
    </row>
    <row r="5" spans="1:8" ht="15" thickBot="1" x14ac:dyDescent="0.4"/>
    <row r="6" spans="1:8" ht="15" thickBot="1" x14ac:dyDescent="0.4">
      <c r="A6" s="131" t="s">
        <v>48</v>
      </c>
      <c r="B6" s="130">
        <v>0</v>
      </c>
      <c r="C6" s="130">
        <v>0.5</v>
      </c>
      <c r="D6" s="130">
        <v>1</v>
      </c>
      <c r="E6" s="130">
        <v>1.5</v>
      </c>
      <c r="F6" s="118">
        <v>2</v>
      </c>
    </row>
    <row r="7" spans="1:8" x14ac:dyDescent="0.35">
      <c r="A7" s="10"/>
      <c r="B7" s="76">
        <v>-94</v>
      </c>
      <c r="C7" s="76">
        <v>100</v>
      </c>
      <c r="D7" s="76">
        <v>0</v>
      </c>
      <c r="E7" s="76">
        <v>0</v>
      </c>
      <c r="F7" s="77">
        <v>0</v>
      </c>
    </row>
    <row r="8" spans="1:8" x14ac:dyDescent="0.35">
      <c r="A8" s="10"/>
      <c r="B8" s="76">
        <v>-89</v>
      </c>
      <c r="C8" s="76">
        <v>0</v>
      </c>
      <c r="D8" s="76">
        <v>100</v>
      </c>
      <c r="E8" s="76">
        <v>0</v>
      </c>
      <c r="F8" s="77">
        <v>0</v>
      </c>
    </row>
    <row r="9" spans="1:8" x14ac:dyDescent="0.35">
      <c r="A9" s="10"/>
      <c r="B9" s="76">
        <v>-94.84</v>
      </c>
      <c r="C9" s="76">
        <v>4</v>
      </c>
      <c r="D9" s="76">
        <v>4</v>
      </c>
      <c r="E9" s="76">
        <v>104</v>
      </c>
      <c r="F9" s="77">
        <v>0</v>
      </c>
    </row>
    <row r="10" spans="1:8" ht="15" thickBot="1" x14ac:dyDescent="0.4">
      <c r="A10" s="12"/>
      <c r="B10" s="80">
        <v>-97.12</v>
      </c>
      <c r="C10" s="80">
        <v>5</v>
      </c>
      <c r="D10" s="80">
        <v>5</v>
      </c>
      <c r="E10" s="80">
        <v>5</v>
      </c>
      <c r="F10" s="129">
        <v>105</v>
      </c>
    </row>
    <row r="11" spans="1:8" ht="15" thickBot="1" x14ac:dyDescent="0.4">
      <c r="B11" s="76"/>
      <c r="C11" s="76"/>
      <c r="D11" s="76"/>
      <c r="E11" s="76"/>
      <c r="F11" s="76"/>
    </row>
    <row r="12" spans="1:8" ht="15" thickBot="1" x14ac:dyDescent="0.4">
      <c r="A12" s="132" t="s">
        <v>49</v>
      </c>
    </row>
    <row r="13" spans="1:8" ht="15" thickBot="1" x14ac:dyDescent="0.4">
      <c r="A13" s="133" t="s">
        <v>47</v>
      </c>
      <c r="B13" s="130">
        <f t="array" ref="B13:F13">LINEST(-B7:B10,C7:F10,FALSE,FALSE)</f>
        <v>0.79773626373626383</v>
      </c>
      <c r="C13" s="130">
        <v>0.84153846153846168</v>
      </c>
      <c r="D13" s="130">
        <v>0.89</v>
      </c>
      <c r="E13" s="130">
        <v>0.94</v>
      </c>
      <c r="F13" s="118">
        <v>0</v>
      </c>
    </row>
    <row r="14" spans="1:8" ht="15" thickBot="1" x14ac:dyDescent="0.4">
      <c r="A14" s="12"/>
      <c r="B14" s="80">
        <f>-LN(B13)/F6</f>
        <v>0.11298861636472707</v>
      </c>
      <c r="C14" s="80">
        <f>-LN(C13)/E6</f>
        <v>0.11501570697846762</v>
      </c>
      <c r="D14" s="80">
        <f>-LN(D13)/D6</f>
        <v>0.11653381625595151</v>
      </c>
      <c r="E14" s="80">
        <f>-LN(E13)/C6</f>
        <v>0.12375080743617506</v>
      </c>
      <c r="F14" s="129"/>
    </row>
    <row r="15" spans="1:8" ht="15" thickBot="1" x14ac:dyDescent="0.4"/>
    <row r="16" spans="1:8" ht="15" thickBot="1" x14ac:dyDescent="0.4">
      <c r="A16" s="134" t="s">
        <v>50</v>
      </c>
      <c r="B16" s="135"/>
    </row>
    <row r="17" spans="2:4" x14ac:dyDescent="0.35">
      <c r="B17" s="74">
        <f t="array" ref="B17:B20">MMULT(MINVERSE(C7:F10),-B7:B10)</f>
        <v>0.94000000000000006</v>
      </c>
      <c r="C17" s="130">
        <v>0.5</v>
      </c>
      <c r="D17" s="118">
        <f>-LN(B17)/C17</f>
        <v>0.12375080743617482</v>
      </c>
    </row>
    <row r="18" spans="2:4" x14ac:dyDescent="0.35">
      <c r="B18" s="74">
        <v>0.89</v>
      </c>
      <c r="C18" s="76">
        <v>1</v>
      </c>
      <c r="D18" s="77">
        <f t="shared" ref="D18:D20" si="0">-LN(B18)/C18</f>
        <v>0.11653381625595151</v>
      </c>
    </row>
    <row r="19" spans="2:4" x14ac:dyDescent="0.35">
      <c r="B19" s="74">
        <v>0.84153846153846168</v>
      </c>
      <c r="C19" s="76">
        <v>1.5</v>
      </c>
      <c r="D19" s="77">
        <f t="shared" si="0"/>
        <v>0.11501570697846762</v>
      </c>
    </row>
    <row r="20" spans="2:4" ht="15" thickBot="1" x14ac:dyDescent="0.4">
      <c r="B20" s="78">
        <v>0.79773626373626383</v>
      </c>
      <c r="C20" s="80">
        <v>2</v>
      </c>
      <c r="D20" s="129">
        <f t="shared" si="0"/>
        <v>0.11298861636472707</v>
      </c>
    </row>
  </sheetData>
  <mergeCells count="1">
    <mergeCell ref="F2:H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ivBootstrap_Button1_Click">
                <anchor moveWithCells="1" sizeWithCells="1">
                  <from>
                    <xdr:col>0</xdr:col>
                    <xdr:colOff>209550</xdr:colOff>
                    <xdr:row>0</xdr:row>
                    <xdr:rowOff>114300</xdr:rowOff>
                  </from>
                  <to>
                    <xdr:col>1</xdr:col>
                    <xdr:colOff>19050</xdr:colOff>
                    <xdr:row>3</xdr:row>
                    <xdr:rowOff>76200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83563-5147-40E9-AE33-208E1D269C50}">
  <sheetPr codeName="Sheet16">
    <tabColor theme="4" tint="-0.249977111117893"/>
  </sheetPr>
  <dimension ref="B1:G12"/>
  <sheetViews>
    <sheetView workbookViewId="0">
      <selection activeCell="R3" sqref="R3"/>
    </sheetView>
  </sheetViews>
  <sheetFormatPr defaultRowHeight="14.5" x14ac:dyDescent="0.35"/>
  <cols>
    <col min="2" max="2" width="8.90625" bestFit="1" customWidth="1"/>
  </cols>
  <sheetData>
    <row r="1" spans="2:7" x14ac:dyDescent="0.35">
      <c r="E1" s="206" t="s">
        <v>129</v>
      </c>
      <c r="F1" s="207"/>
      <c r="G1" s="208"/>
    </row>
    <row r="2" spans="2:7" ht="15" thickBot="1" x14ac:dyDescent="0.4">
      <c r="E2" s="209"/>
      <c r="F2" s="210"/>
      <c r="G2" s="211"/>
    </row>
    <row r="5" spans="2:7" ht="15" thickBot="1" x14ac:dyDescent="0.4"/>
    <row r="6" spans="2:7" x14ac:dyDescent="0.35">
      <c r="B6" s="137" t="s">
        <v>51</v>
      </c>
      <c r="C6" s="118">
        <v>150</v>
      </c>
    </row>
    <row r="7" spans="2:7" x14ac:dyDescent="0.35">
      <c r="B7" s="138" t="s">
        <v>52</v>
      </c>
      <c r="C7" s="77">
        <v>100</v>
      </c>
    </row>
    <row r="8" spans="2:7" x14ac:dyDescent="0.35">
      <c r="B8" s="138" t="s">
        <v>3</v>
      </c>
      <c r="C8" s="77">
        <v>0.4</v>
      </c>
    </row>
    <row r="9" spans="2:7" x14ac:dyDescent="0.35">
      <c r="B9" s="138" t="s">
        <v>4</v>
      </c>
      <c r="C9" s="77">
        <v>2</v>
      </c>
    </row>
    <row r="10" spans="2:7" x14ac:dyDescent="0.35">
      <c r="B10" s="138" t="s">
        <v>53</v>
      </c>
      <c r="C10" s="77">
        <v>0.05</v>
      </c>
    </row>
    <row r="11" spans="2:7" x14ac:dyDescent="0.35">
      <c r="B11" s="138"/>
      <c r="C11" s="77"/>
    </row>
    <row r="12" spans="2:7" ht="15" thickBot="1" x14ac:dyDescent="0.4">
      <c r="B12" s="95" t="s">
        <v>54</v>
      </c>
      <c r="C12" s="136">
        <f>Black_Call(C6,C7,C8,C10,C9)</f>
        <v>22.466448209007758</v>
      </c>
    </row>
  </sheetData>
  <mergeCells count="1">
    <mergeCell ref="E1:G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iBlack1976_Button1_Click">
                <anchor moveWithCells="1" sizeWithCells="1">
                  <from>
                    <xdr:col>15</xdr:col>
                    <xdr:colOff>222250</xdr:colOff>
                    <xdr:row>1</xdr:row>
                    <xdr:rowOff>19050</xdr:rowOff>
                  </from>
                  <to>
                    <xdr:col>16</xdr:col>
                    <xdr:colOff>603250</xdr:colOff>
                    <xdr:row>3</xdr:row>
                    <xdr:rowOff>38100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7FCD6-B133-46E1-9E00-CC7DEC8BB6D5}">
  <sheetPr codeName="Sheet19">
    <tabColor theme="4" tint="-0.249977111117893"/>
  </sheetPr>
  <dimension ref="B1:G26"/>
  <sheetViews>
    <sheetView workbookViewId="0">
      <selection activeCell="E2" sqref="E2:G3"/>
    </sheetView>
  </sheetViews>
  <sheetFormatPr defaultRowHeight="14.5" x14ac:dyDescent="0.35"/>
  <cols>
    <col min="2" max="2" width="9.6328125" bestFit="1" customWidth="1"/>
  </cols>
  <sheetData>
    <row r="1" spans="2:7" ht="15" thickBot="1" x14ac:dyDescent="0.4"/>
    <row r="2" spans="2:7" x14ac:dyDescent="0.35">
      <c r="E2" s="206" t="s">
        <v>130</v>
      </c>
      <c r="F2" s="207"/>
      <c r="G2" s="208"/>
    </row>
    <row r="3" spans="2:7" ht="15" thickBot="1" x14ac:dyDescent="0.4">
      <c r="E3" s="209"/>
      <c r="F3" s="210"/>
      <c r="G3" s="211"/>
    </row>
    <row r="5" spans="2:7" ht="15" thickBot="1" x14ac:dyDescent="0.4"/>
    <row r="6" spans="2:7" x14ac:dyDescent="0.35">
      <c r="B6" s="147" t="s">
        <v>51</v>
      </c>
      <c r="C6" s="148">
        <v>200.29868356432212</v>
      </c>
      <c r="F6" s="139"/>
      <c r="G6" s="142">
        <f>C12</f>
        <v>45.06710358827786</v>
      </c>
    </row>
    <row r="7" spans="2:7" x14ac:dyDescent="0.35">
      <c r="B7" s="145" t="s">
        <v>52</v>
      </c>
      <c r="C7" s="81">
        <v>100</v>
      </c>
      <c r="F7" s="35">
        <v>10</v>
      </c>
      <c r="G7" s="81">
        <f t="dataTable" ref="G7:G26" dt2D="0" dtr="0" r1="C6"/>
        <v>2.0772712954993682E-234</v>
      </c>
    </row>
    <row r="8" spans="2:7" x14ac:dyDescent="0.35">
      <c r="B8" s="145" t="s">
        <v>3</v>
      </c>
      <c r="C8" s="81">
        <v>0.4</v>
      </c>
      <c r="F8" s="35">
        <v>20</v>
      </c>
      <c r="G8" s="81">
        <v>3.4789245374737717E-116</v>
      </c>
    </row>
    <row r="9" spans="2:7" x14ac:dyDescent="0.35">
      <c r="B9" s="145" t="s">
        <v>4</v>
      </c>
      <c r="C9" s="81">
        <v>2</v>
      </c>
      <c r="F9" s="35">
        <v>30</v>
      </c>
      <c r="G9" s="81">
        <v>2.6385613456506982E-66</v>
      </c>
    </row>
    <row r="10" spans="2:7" x14ac:dyDescent="0.35">
      <c r="B10" s="145" t="s">
        <v>53</v>
      </c>
      <c r="C10" s="81">
        <v>0.05</v>
      </c>
      <c r="F10" s="35">
        <v>40</v>
      </c>
      <c r="G10" s="81">
        <v>1.614905265328811E-39</v>
      </c>
    </row>
    <row r="11" spans="2:7" ht="15" thickBot="1" x14ac:dyDescent="0.4">
      <c r="B11" s="145"/>
      <c r="C11" s="81"/>
      <c r="F11" s="35">
        <v>50</v>
      </c>
      <c r="G11" s="81">
        <v>1.231947510505092E-23</v>
      </c>
    </row>
    <row r="12" spans="2:7" x14ac:dyDescent="0.35">
      <c r="B12" s="144" t="s">
        <v>54</v>
      </c>
      <c r="C12" s="142">
        <f>Black_Call(C6,C7,C8,C10,C9)</f>
        <v>45.06710358827786</v>
      </c>
      <c r="F12" s="35">
        <v>60</v>
      </c>
      <c r="G12" s="81">
        <v>8.2817860150749528E-14</v>
      </c>
    </row>
    <row r="13" spans="2:7" x14ac:dyDescent="0.35">
      <c r="B13" s="145"/>
      <c r="C13" s="81"/>
      <c r="F13" s="35">
        <v>70</v>
      </c>
      <c r="G13" s="81">
        <v>1.1199307409550044E-7</v>
      </c>
    </row>
    <row r="14" spans="2:7" x14ac:dyDescent="0.35">
      <c r="B14" s="145" t="s">
        <v>106</v>
      </c>
      <c r="C14" s="81">
        <v>100</v>
      </c>
      <c r="F14" s="35">
        <v>80</v>
      </c>
      <c r="G14" s="81">
        <v>6.1951448765369677E-4</v>
      </c>
    </row>
    <row r="15" spans="2:7" ht="15" thickBot="1" x14ac:dyDescent="0.4">
      <c r="B15" s="146" t="s">
        <v>107</v>
      </c>
      <c r="C15" s="143">
        <v>10</v>
      </c>
      <c r="F15" s="35">
        <v>90</v>
      </c>
      <c r="G15" s="81">
        <v>9.032416018218381E-2</v>
      </c>
    </row>
    <row r="16" spans="2:7" x14ac:dyDescent="0.35">
      <c r="F16" s="35">
        <v>100</v>
      </c>
      <c r="G16" s="81">
        <v>1.2672695857106788</v>
      </c>
    </row>
    <row r="17" spans="6:7" x14ac:dyDescent="0.35">
      <c r="F17" s="35">
        <v>110</v>
      </c>
      <c r="G17" s="81">
        <v>4.6301368635704705</v>
      </c>
    </row>
    <row r="18" spans="6:7" x14ac:dyDescent="0.35">
      <c r="F18" s="35">
        <v>120</v>
      </c>
      <c r="G18" s="81">
        <v>8.9920328212771707</v>
      </c>
    </row>
    <row r="19" spans="6:7" x14ac:dyDescent="0.35">
      <c r="F19" s="35">
        <v>130</v>
      </c>
      <c r="G19" s="81">
        <v>13.479958799636741</v>
      </c>
    </row>
    <row r="20" spans="6:7" x14ac:dyDescent="0.35">
      <c r="F20" s="35">
        <v>140</v>
      </c>
      <c r="G20" s="81">
        <v>17.973159278394505</v>
      </c>
    </row>
    <row r="21" spans="6:7" x14ac:dyDescent="0.35">
      <c r="F21" s="35">
        <v>150</v>
      </c>
      <c r="G21" s="81">
        <v>22.466448209007758</v>
      </c>
    </row>
    <row r="22" spans="6:7" x14ac:dyDescent="0.35">
      <c r="F22" s="35">
        <v>160</v>
      </c>
      <c r="G22" s="81">
        <v>26.959737847041964</v>
      </c>
    </row>
    <row r="23" spans="6:7" x14ac:dyDescent="0.35">
      <c r="F23" s="35">
        <v>170</v>
      </c>
      <c r="G23" s="81">
        <v>31.453027488205521</v>
      </c>
    </row>
    <row r="24" spans="6:7" x14ac:dyDescent="0.35">
      <c r="F24" s="35">
        <v>180</v>
      </c>
      <c r="G24" s="81">
        <v>35.946317129377739</v>
      </c>
    </row>
    <row r="25" spans="6:7" x14ac:dyDescent="0.35">
      <c r="F25" s="35">
        <v>190</v>
      </c>
      <c r="G25" s="81">
        <v>40.439606770549943</v>
      </c>
    </row>
    <row r="26" spans="6:7" ht="15" thickBot="1" x14ac:dyDescent="0.4">
      <c r="F26" s="141">
        <v>200</v>
      </c>
      <c r="G26" s="143">
        <v>44.932896411722155</v>
      </c>
    </row>
  </sheetData>
  <mergeCells count="1">
    <mergeCell ref="E2:G3"/>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D5E14E-3B0E-4CA9-8266-99B45AB040DC}">
  <sheetPr codeName="Sheet20">
    <tabColor theme="4" tint="-0.249977111117893"/>
  </sheetPr>
  <dimension ref="B1:H26"/>
  <sheetViews>
    <sheetView workbookViewId="0">
      <selection activeCell="F2" sqref="F2:H3"/>
    </sheetView>
  </sheetViews>
  <sheetFormatPr defaultRowHeight="14.5" x14ac:dyDescent="0.35"/>
  <cols>
    <col min="2" max="2" width="9.6328125" bestFit="1" customWidth="1"/>
  </cols>
  <sheetData>
    <row r="1" spans="2:8" ht="15" thickBot="1" x14ac:dyDescent="0.4"/>
    <row r="2" spans="2:8" x14ac:dyDescent="0.35">
      <c r="F2" s="206" t="s">
        <v>131</v>
      </c>
      <c r="G2" s="207"/>
      <c r="H2" s="208"/>
    </row>
    <row r="3" spans="2:8" ht="15" thickBot="1" x14ac:dyDescent="0.4">
      <c r="F3" s="209"/>
      <c r="G3" s="210"/>
      <c r="H3" s="211"/>
    </row>
    <row r="5" spans="2:8" ht="15" thickBot="1" x14ac:dyDescent="0.4"/>
    <row r="6" spans="2:8" x14ac:dyDescent="0.35">
      <c r="B6" s="144" t="s">
        <v>51</v>
      </c>
      <c r="C6" s="140">
        <f>(C14-C15)*EXP(C8*C9)</f>
        <v>200.29868356432212</v>
      </c>
      <c r="F6" s="139"/>
      <c r="G6" s="142">
        <f>Black_Call(C6,C7,C8,C10,C9)</f>
        <v>45.06710358827786</v>
      </c>
    </row>
    <row r="7" spans="2:8" x14ac:dyDescent="0.35">
      <c r="B7" s="145" t="s">
        <v>52</v>
      </c>
      <c r="C7" s="81">
        <v>100</v>
      </c>
      <c r="F7" s="35">
        <v>0.05</v>
      </c>
      <c r="G7" s="81">
        <f t="dataTable" ref="G7:G26" dt2D="0" dtr="0" r1="C10"/>
        <v>45.06710358827786</v>
      </c>
    </row>
    <row r="8" spans="2:8" x14ac:dyDescent="0.35">
      <c r="B8" s="145" t="s">
        <v>3</v>
      </c>
      <c r="C8" s="81">
        <v>0.4</v>
      </c>
      <c r="F8" s="35">
        <v>0.1</v>
      </c>
      <c r="G8" s="81">
        <v>45.067104355010748</v>
      </c>
    </row>
    <row r="9" spans="2:8" x14ac:dyDescent="0.35">
      <c r="B9" s="145" t="s">
        <v>4</v>
      </c>
      <c r="C9" s="81">
        <v>2</v>
      </c>
      <c r="F9" s="35">
        <v>0.15</v>
      </c>
      <c r="G9" s="81">
        <v>45.068984727180201</v>
      </c>
    </row>
    <row r="10" spans="2:8" x14ac:dyDescent="0.35">
      <c r="B10" s="149" t="s">
        <v>53</v>
      </c>
      <c r="C10" s="150">
        <v>0.05</v>
      </c>
      <c r="F10" s="35">
        <v>0.2</v>
      </c>
      <c r="G10" s="81">
        <v>45.108051459224427</v>
      </c>
    </row>
    <row r="11" spans="2:8" ht="15" thickBot="1" x14ac:dyDescent="0.4">
      <c r="B11" s="145"/>
      <c r="C11" s="81"/>
      <c r="F11" s="35">
        <v>0.25</v>
      </c>
      <c r="G11" s="81">
        <v>45.274263747218718</v>
      </c>
    </row>
    <row r="12" spans="2:8" x14ac:dyDescent="0.35">
      <c r="B12" s="144" t="s">
        <v>54</v>
      </c>
      <c r="C12" s="142">
        <f>Black_Call(C6,C7,C8,C10,C9)</f>
        <v>45.06710358827786</v>
      </c>
      <c r="F12" s="35">
        <v>0.3</v>
      </c>
      <c r="G12" s="81">
        <v>45.631582279484924</v>
      </c>
    </row>
    <row r="13" spans="2:8" x14ac:dyDescent="0.35">
      <c r="B13" s="145"/>
      <c r="C13" s="81"/>
      <c r="F13" s="35">
        <v>0.35</v>
      </c>
      <c r="G13" s="81">
        <v>46.188151579643396</v>
      </c>
    </row>
    <row r="14" spans="2:8" x14ac:dyDescent="0.35">
      <c r="B14" s="145" t="s">
        <v>106</v>
      </c>
      <c r="C14" s="81">
        <v>100</v>
      </c>
      <c r="F14" s="35">
        <v>0.4</v>
      </c>
      <c r="G14" s="81">
        <v>46.92127662865218</v>
      </c>
    </row>
    <row r="15" spans="2:8" ht="15" thickBot="1" x14ac:dyDescent="0.4">
      <c r="B15" s="146" t="s">
        <v>107</v>
      </c>
      <c r="C15" s="143">
        <v>10</v>
      </c>
      <c r="F15" s="35">
        <v>0.45</v>
      </c>
      <c r="G15" s="81">
        <v>47.799297421352065</v>
      </c>
    </row>
    <row r="16" spans="2:8" x14ac:dyDescent="0.35">
      <c r="F16" s="35">
        <v>0.5</v>
      </c>
      <c r="G16" s="81">
        <v>48.791550096678115</v>
      </c>
    </row>
    <row r="17" spans="6:7" x14ac:dyDescent="0.35">
      <c r="F17" s="35">
        <v>0.55000000000000004</v>
      </c>
      <c r="G17" s="81">
        <v>49.871574180538239</v>
      </c>
    </row>
    <row r="18" spans="6:7" x14ac:dyDescent="0.35">
      <c r="F18" s="35">
        <v>0.6</v>
      </c>
      <c r="G18" s="81">
        <v>51.017527628028361</v>
      </c>
    </row>
    <row r="19" spans="6:7" x14ac:dyDescent="0.35">
      <c r="F19" s="35">
        <v>0.65</v>
      </c>
      <c r="G19" s="81">
        <v>52.211662588207716</v>
      </c>
    </row>
    <row r="20" spans="6:7" x14ac:dyDescent="0.35">
      <c r="F20" s="35">
        <v>0.7</v>
      </c>
      <c r="G20" s="81">
        <v>53.439595612546412</v>
      </c>
    </row>
    <row r="21" spans="6:7" x14ac:dyDescent="0.35">
      <c r="F21" s="35">
        <v>0.75</v>
      </c>
      <c r="G21" s="81">
        <v>54.689627121194142</v>
      </c>
    </row>
    <row r="22" spans="6:7" x14ac:dyDescent="0.35">
      <c r="F22" s="35">
        <v>0.8</v>
      </c>
      <c r="G22" s="81">
        <v>55.952178444002641</v>
      </c>
    </row>
    <row r="23" spans="6:7" x14ac:dyDescent="0.35">
      <c r="F23" s="35">
        <v>0.85</v>
      </c>
      <c r="G23" s="81">
        <v>57.219348225314128</v>
      </c>
    </row>
    <row r="24" spans="6:7" x14ac:dyDescent="0.35">
      <c r="F24" s="35">
        <v>0.9</v>
      </c>
      <c r="G24" s="81">
        <v>58.484570000455093</v>
      </c>
    </row>
    <row r="25" spans="6:7" x14ac:dyDescent="0.35">
      <c r="F25" s="35">
        <v>0.95</v>
      </c>
      <c r="G25" s="81">
        <v>59.742349765673737</v>
      </c>
    </row>
    <row r="26" spans="6:7" ht="15" thickBot="1" x14ac:dyDescent="0.4">
      <c r="F26" s="141">
        <v>1</v>
      </c>
      <c r="G26" s="143">
        <v>60.98806487367267</v>
      </c>
    </row>
  </sheetData>
  <mergeCells count="1">
    <mergeCell ref="F2:H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Black1976vsSigma_Button1_Click">
                <anchor moveWithCells="1" sizeWithCells="1">
                  <from>
                    <xdr:col>0</xdr:col>
                    <xdr:colOff>285750</xdr:colOff>
                    <xdr:row>0</xdr:row>
                    <xdr:rowOff>133350</xdr:rowOff>
                  </from>
                  <to>
                    <xdr:col>2</xdr:col>
                    <xdr:colOff>0</xdr:colOff>
                    <xdr:row>2</xdr:row>
                    <xdr:rowOff>177800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13C01-2C16-4991-8CDA-0EC51159F583}">
  <sheetPr codeName="Sheet17">
    <tabColor theme="7" tint="-0.249977111117893"/>
  </sheetPr>
  <dimension ref="A1:W251"/>
  <sheetViews>
    <sheetView workbookViewId="0">
      <selection activeCell="M2" sqref="M2"/>
    </sheetView>
  </sheetViews>
  <sheetFormatPr defaultRowHeight="14.5" x14ac:dyDescent="0.35"/>
  <cols>
    <col min="1" max="1" width="10.08984375" bestFit="1" customWidth="1"/>
    <col min="13" max="13" width="12.6328125" bestFit="1" customWidth="1"/>
  </cols>
  <sheetData>
    <row r="1" spans="1:23" x14ac:dyDescent="0.35">
      <c r="A1" s="151" t="s">
        <v>65</v>
      </c>
      <c r="B1" s="152" t="s">
        <v>55</v>
      </c>
      <c r="C1" s="152" t="s">
        <v>56</v>
      </c>
      <c r="D1" s="152" t="s">
        <v>57</v>
      </c>
      <c r="E1" s="152" t="s">
        <v>58</v>
      </c>
      <c r="F1" s="152" t="s">
        <v>59</v>
      </c>
      <c r="G1" s="152" t="s">
        <v>60</v>
      </c>
      <c r="H1" s="152" t="s">
        <v>61</v>
      </c>
      <c r="I1" s="152" t="s">
        <v>62</v>
      </c>
      <c r="J1" s="152" t="s">
        <v>63</v>
      </c>
      <c r="K1" s="153" t="s">
        <v>64</v>
      </c>
    </row>
    <row r="2" spans="1:23" x14ac:dyDescent="0.35">
      <c r="A2" s="154">
        <v>45033</v>
      </c>
      <c r="B2" s="156">
        <v>163.441720644443</v>
      </c>
      <c r="C2" s="156">
        <v>186.32000732421801</v>
      </c>
      <c r="D2" s="156">
        <v>26.547759434806402</v>
      </c>
      <c r="E2" s="156">
        <v>98.354954622747897</v>
      </c>
      <c r="F2" s="156">
        <v>285.39097000497298</v>
      </c>
      <c r="G2" s="156">
        <v>104.1620102107</v>
      </c>
      <c r="H2" s="156">
        <v>218.75898897403701</v>
      </c>
      <c r="I2" s="156">
        <v>103.16000366210901</v>
      </c>
      <c r="J2" s="156">
        <v>338</v>
      </c>
      <c r="K2" s="157">
        <v>133.24618992675599</v>
      </c>
      <c r="O2" s="212"/>
      <c r="P2" s="213"/>
      <c r="Q2" s="213"/>
      <c r="R2" s="213"/>
    </row>
    <row r="3" spans="1:23" x14ac:dyDescent="0.35">
      <c r="A3" s="154">
        <v>45034</v>
      </c>
      <c r="B3" s="156">
        <v>164.441667046129</v>
      </c>
      <c r="C3" s="156">
        <v>187.14999389648401</v>
      </c>
      <c r="D3" s="156">
        <v>27.515130232673801</v>
      </c>
      <c r="E3" s="156">
        <v>99.382269478851697</v>
      </c>
      <c r="F3" s="156">
        <v>287.00529115309701</v>
      </c>
      <c r="G3" s="156">
        <v>105.98329077756</v>
      </c>
      <c r="H3" s="156">
        <v>218.87843334823</v>
      </c>
      <c r="I3" s="156">
        <v>103.949996948242</v>
      </c>
      <c r="J3" s="156">
        <v>335</v>
      </c>
      <c r="K3" s="157">
        <v>133.55089307359799</v>
      </c>
      <c r="O3" s="213"/>
      <c r="P3" s="213"/>
      <c r="Q3" s="213"/>
      <c r="R3" s="213"/>
    </row>
    <row r="4" spans="1:23" x14ac:dyDescent="0.35">
      <c r="A4" s="154">
        <v>45035</v>
      </c>
      <c r="B4" s="156">
        <v>164.144644158029</v>
      </c>
      <c r="C4" s="156">
        <v>179.100006103515</v>
      </c>
      <c r="D4" s="156">
        <v>27.343240685548199</v>
      </c>
      <c r="E4" s="156">
        <v>98.562389791584707</v>
      </c>
      <c r="F4" s="156">
        <v>281.51263430866197</v>
      </c>
      <c r="G4" s="156">
        <v>103.087152066269</v>
      </c>
      <c r="H4" s="156">
        <v>212.46865143110699</v>
      </c>
      <c r="I4" s="156">
        <v>101.58000183105401</v>
      </c>
      <c r="J4" s="156">
        <v>324.20999145507801</v>
      </c>
      <c r="K4" s="157">
        <v>134.46489905800999</v>
      </c>
    </row>
    <row r="5" spans="1:23" x14ac:dyDescent="0.35">
      <c r="A5" s="154">
        <v>45036</v>
      </c>
      <c r="B5" s="156">
        <v>164.43175373561701</v>
      </c>
      <c r="C5" s="156">
        <v>166.169998168945</v>
      </c>
      <c r="D5" s="156">
        <v>27.653040047394501</v>
      </c>
      <c r="E5" s="156">
        <v>96.557173334600805</v>
      </c>
      <c r="F5" s="156">
        <v>280.78421561361699</v>
      </c>
      <c r="G5" s="156">
        <v>103.41557815605699</v>
      </c>
      <c r="H5" s="156">
        <v>212.478576040734</v>
      </c>
      <c r="I5" s="156">
        <v>103.52999877929599</v>
      </c>
      <c r="J5" s="156">
        <v>320.39001464843699</v>
      </c>
      <c r="K5" s="157">
        <v>133.208119506803</v>
      </c>
      <c r="M5" t="s">
        <v>30</v>
      </c>
      <c r="N5" s="1" t="s">
        <v>66</v>
      </c>
      <c r="O5" s="4"/>
      <c r="P5" s="4"/>
      <c r="Q5" s="4"/>
      <c r="R5" s="4"/>
      <c r="S5" s="4"/>
      <c r="T5" s="4"/>
      <c r="U5" s="4"/>
      <c r="V5" s="4"/>
      <c r="W5" s="4"/>
    </row>
    <row r="6" spans="1:23" x14ac:dyDescent="0.35">
      <c r="A6" s="154">
        <v>45037</v>
      </c>
      <c r="B6" s="156">
        <v>163.40213579346201</v>
      </c>
      <c r="C6" s="156">
        <v>164.80000305175699</v>
      </c>
      <c r="D6" s="156">
        <v>26.934507038823</v>
      </c>
      <c r="E6" s="156">
        <v>96.9621675794467</v>
      </c>
      <c r="F6" s="156">
        <v>280.54802704778399</v>
      </c>
      <c r="G6" s="156">
        <v>104.968159346956</v>
      </c>
      <c r="H6" s="156">
        <v>209.22393627677599</v>
      </c>
      <c r="I6" s="156">
        <v>106.09999847412099</v>
      </c>
      <c r="J6" s="156">
        <v>323</v>
      </c>
      <c r="K6" s="157">
        <v>133.046270325829</v>
      </c>
      <c r="M6" t="s">
        <v>67</v>
      </c>
      <c r="N6" s="1" t="s">
        <v>68</v>
      </c>
    </row>
    <row r="7" spans="1:23" x14ac:dyDescent="0.35">
      <c r="A7" s="154">
        <v>45040</v>
      </c>
      <c r="B7" s="156">
        <v>163.35264470445799</v>
      </c>
      <c r="C7" s="156">
        <v>164.64999389648401</v>
      </c>
      <c r="D7" s="156">
        <v>26.995469793278101</v>
      </c>
      <c r="E7" s="156">
        <v>98.927881261173994</v>
      </c>
      <c r="F7" s="156">
        <v>277.67373157493898</v>
      </c>
      <c r="G7" s="156">
        <v>104.98805513219</v>
      </c>
      <c r="H7" s="156">
        <v>212.677633541652</v>
      </c>
      <c r="I7" s="156">
        <v>107.66000366210901</v>
      </c>
      <c r="J7" s="156">
        <v>330.20001220703102</v>
      </c>
      <c r="K7" s="157">
        <v>133.73178963656699</v>
      </c>
    </row>
    <row r="8" spans="1:23" x14ac:dyDescent="0.35">
      <c r="A8" s="154">
        <v>45041</v>
      </c>
      <c r="B8" s="156">
        <v>163.54072367407801</v>
      </c>
      <c r="C8" s="156">
        <v>159.82000732421801</v>
      </c>
      <c r="D8" s="156">
        <v>27.060427144497201</v>
      </c>
      <c r="E8" s="156">
        <v>98.167272557833797</v>
      </c>
      <c r="F8" s="156">
        <v>275.13405744207301</v>
      </c>
      <c r="G8" s="156">
        <v>105.326439924295</v>
      </c>
      <c r="H8" s="156">
        <v>209.83106567195</v>
      </c>
      <c r="I8" s="156">
        <v>104.91000366210901</v>
      </c>
      <c r="J8" s="156">
        <v>328.5</v>
      </c>
      <c r="K8" s="157">
        <v>132.912997683215</v>
      </c>
    </row>
    <row r="9" spans="1:23" x14ac:dyDescent="0.35">
      <c r="A9" s="154">
        <v>45042</v>
      </c>
      <c r="B9" s="156">
        <v>161.432007077782</v>
      </c>
      <c r="C9" s="156">
        <v>160.28999328613199</v>
      </c>
      <c r="D9" s="156">
        <v>26.984476752537599</v>
      </c>
      <c r="E9" s="156">
        <v>96.646062232126795</v>
      </c>
      <c r="F9" s="156">
        <v>292.05507535924801</v>
      </c>
      <c r="G9" s="156">
        <v>104.42076383753999</v>
      </c>
      <c r="H9" s="156">
        <v>211.50318897041601</v>
      </c>
      <c r="I9" s="156">
        <v>105.040000915527</v>
      </c>
      <c r="J9" s="156">
        <v>321.35998535156199</v>
      </c>
      <c r="K9" s="157">
        <v>131.02783493418301</v>
      </c>
    </row>
    <row r="10" spans="1:23" x14ac:dyDescent="0.35">
      <c r="A10" s="154">
        <v>45043</v>
      </c>
      <c r="B10" s="156">
        <v>163.54073931024701</v>
      </c>
      <c r="C10" s="156">
        <v>152.63999938964801</v>
      </c>
      <c r="D10" s="156">
        <v>27.3452403613774</v>
      </c>
      <c r="E10" s="156">
        <v>95.944728788820996</v>
      </c>
      <c r="F10" s="156">
        <v>291.336431237466</v>
      </c>
      <c r="G10" s="156">
        <v>103.95300525177799</v>
      </c>
      <c r="H10" s="156">
        <v>238.76469613494899</v>
      </c>
      <c r="I10" s="156">
        <v>108.16000366210901</v>
      </c>
      <c r="J10" s="156">
        <v>324.29998779296801</v>
      </c>
      <c r="K10" s="157">
        <v>129.48543133606299</v>
      </c>
    </row>
    <row r="11" spans="1:23" x14ac:dyDescent="0.35">
      <c r="A11" s="154">
        <v>45044</v>
      </c>
      <c r="B11" s="156">
        <v>166.80779457565799</v>
      </c>
      <c r="C11" s="156">
        <v>160.89999389648401</v>
      </c>
      <c r="D11" s="156">
        <v>27.207331273382</v>
      </c>
      <c r="E11" s="156">
        <v>98.157404217210299</v>
      </c>
      <c r="F11" s="156">
        <v>299.25055714431602</v>
      </c>
      <c r="G11" s="156">
        <v>106.53067854983701</v>
      </c>
      <c r="H11" s="156">
        <v>237.88880514647801</v>
      </c>
      <c r="I11" s="156">
        <v>107.730003356933</v>
      </c>
      <c r="J11" s="156">
        <v>325.239990234375</v>
      </c>
      <c r="K11" s="157">
        <v>130.01861519884099</v>
      </c>
    </row>
    <row r="12" spans="1:23" x14ac:dyDescent="0.35">
      <c r="A12" s="154">
        <v>45047</v>
      </c>
      <c r="B12" s="156">
        <v>167.58990227575001</v>
      </c>
      <c r="C12" s="156">
        <v>163.169998168945</v>
      </c>
      <c r="D12" s="156">
        <v>27.821931993837001</v>
      </c>
      <c r="E12" s="156">
        <v>101.160309618024</v>
      </c>
      <c r="F12" s="156">
        <v>302.16420485818799</v>
      </c>
      <c r="G12" s="156">
        <v>106.331623256846</v>
      </c>
      <c r="H12" s="156">
        <v>237.50065377540699</v>
      </c>
      <c r="I12" s="156">
        <v>104.949996948242</v>
      </c>
      <c r="J12" s="156">
        <v>329.44000244140602</v>
      </c>
      <c r="K12" s="157">
        <v>135.445562680601</v>
      </c>
      <c r="M12" t="s">
        <v>43</v>
      </c>
      <c r="N12" t="s">
        <v>43</v>
      </c>
    </row>
    <row r="13" spans="1:23" x14ac:dyDescent="0.35">
      <c r="A13" s="154">
        <v>45048</v>
      </c>
      <c r="B13" s="156">
        <v>168.39181231709</v>
      </c>
      <c r="C13" s="156">
        <v>161.88000488281199</v>
      </c>
      <c r="D13" s="156">
        <v>28.661384689897201</v>
      </c>
      <c r="E13" s="156">
        <v>100.093485975024</v>
      </c>
      <c r="F13" s="156">
        <v>302.94187772895998</v>
      </c>
      <c r="G13" s="156">
        <v>106.630202632756</v>
      </c>
      <c r="H13" s="156">
        <v>242.039257131157</v>
      </c>
      <c r="I13" s="156">
        <v>101.470001220703</v>
      </c>
      <c r="J13" s="156">
        <v>325</v>
      </c>
      <c r="K13" s="157">
        <v>134.62676492839699</v>
      </c>
    </row>
    <row r="14" spans="1:23" x14ac:dyDescent="0.35">
      <c r="A14" s="154">
        <v>45049</v>
      </c>
      <c r="B14" s="156">
        <v>167.80771888799299</v>
      </c>
      <c r="C14" s="156">
        <v>160.009994506835</v>
      </c>
      <c r="D14" s="156">
        <v>27.8219300624691</v>
      </c>
      <c r="E14" s="156">
        <v>99.826775466500393</v>
      </c>
      <c r="F14" s="156">
        <v>301.819706445603</v>
      </c>
      <c r="G14" s="156">
        <v>105.027871428287</v>
      </c>
      <c r="H14" s="156">
        <v>238.34667803957799</v>
      </c>
      <c r="I14" s="156">
        <v>103.73999786376901</v>
      </c>
      <c r="J14" s="156">
        <v>317.54998779296801</v>
      </c>
      <c r="K14" s="157">
        <v>131.808538686958</v>
      </c>
    </row>
    <row r="15" spans="1:23" x14ac:dyDescent="0.35">
      <c r="A15" s="154">
        <v>45050</v>
      </c>
      <c r="B15" s="156">
        <v>163.243726809093</v>
      </c>
      <c r="C15" s="156">
        <v>162.71000671386699</v>
      </c>
      <c r="D15" s="156">
        <v>27.633054195528398</v>
      </c>
      <c r="E15" s="156">
        <v>98.325333798845094</v>
      </c>
      <c r="F15" s="156">
        <v>301.44565483979301</v>
      </c>
      <c r="G15" s="156">
        <v>104.988060566727</v>
      </c>
      <c r="H15" s="156">
        <v>234.95265413419</v>
      </c>
      <c r="I15" s="156">
        <v>104.040000915527</v>
      </c>
      <c r="J15" s="156">
        <v>319.010009765625</v>
      </c>
      <c r="K15" s="157">
        <v>128.49525434190701</v>
      </c>
    </row>
    <row r="16" spans="1:23" x14ac:dyDescent="0.35">
      <c r="A16" s="154">
        <v>45051</v>
      </c>
      <c r="B16" s="156">
        <v>169.27292902501699</v>
      </c>
      <c r="C16" s="156">
        <v>163.97000122070301</v>
      </c>
      <c r="D16" s="156">
        <v>27.807940659117602</v>
      </c>
      <c r="E16" s="156">
        <v>97.386916691455397</v>
      </c>
      <c r="F16" s="156">
        <v>300.93377975527397</v>
      </c>
      <c r="G16" s="156">
        <v>104.321241406437</v>
      </c>
      <c r="H16" s="156">
        <v>231.150573865485</v>
      </c>
      <c r="I16" s="156">
        <v>104.26999664306599</v>
      </c>
      <c r="J16" s="156">
        <v>323.60998535156199</v>
      </c>
      <c r="K16" s="157">
        <v>129.904324203881</v>
      </c>
    </row>
    <row r="17" spans="1:11" x14ac:dyDescent="0.35">
      <c r="A17" s="154">
        <v>45054</v>
      </c>
      <c r="B17" s="156">
        <v>170.75794076749301</v>
      </c>
      <c r="C17" s="156">
        <v>173.72000122070301</v>
      </c>
      <c r="D17" s="156">
        <v>28.503486722502899</v>
      </c>
      <c r="E17" s="156">
        <v>100.458956363347</v>
      </c>
      <c r="F17" s="156">
        <v>305.27474217870099</v>
      </c>
      <c r="G17" s="156">
        <v>104.67953705638701</v>
      </c>
      <c r="H17" s="156">
        <v>230.33442288024901</v>
      </c>
      <c r="I17" s="156">
        <v>105.040000915527</v>
      </c>
      <c r="J17" s="156">
        <v>322.989990234375</v>
      </c>
      <c r="K17" s="157">
        <v>130.90407594010799</v>
      </c>
    </row>
    <row r="18" spans="1:11" x14ac:dyDescent="0.35">
      <c r="A18" s="154">
        <v>45055</v>
      </c>
      <c r="B18" s="156">
        <v>171.32225761857899</v>
      </c>
      <c r="C18" s="156">
        <v>168.94999694824199</v>
      </c>
      <c r="D18" s="156">
        <v>28.880240185650202</v>
      </c>
      <c r="E18" s="156">
        <v>101.654208333683</v>
      </c>
      <c r="F18" s="156">
        <v>303.17806996895303</v>
      </c>
      <c r="G18" s="156">
        <v>107.87426293991599</v>
      </c>
      <c r="H18" s="156">
        <v>230.37423980806199</v>
      </c>
      <c r="I18" s="156">
        <v>105.480003356933</v>
      </c>
      <c r="J18" s="156">
        <v>330.67001342773398</v>
      </c>
      <c r="K18" s="157">
        <v>129.418775598781</v>
      </c>
    </row>
    <row r="19" spans="1:11" x14ac:dyDescent="0.35">
      <c r="A19" s="154">
        <v>45056</v>
      </c>
      <c r="B19" s="156">
        <v>171.292576948186</v>
      </c>
      <c r="C19" s="156">
        <v>172.55000305175699</v>
      </c>
      <c r="D19" s="156">
        <v>28.986173947740699</v>
      </c>
      <c r="E19" s="156">
        <v>101.743110876963</v>
      </c>
      <c r="F19" s="156">
        <v>303.788360068602</v>
      </c>
      <c r="G19" s="156">
        <v>107.456256619987</v>
      </c>
      <c r="H19" s="156">
        <v>235.06215005629701</v>
      </c>
      <c r="I19" s="156">
        <v>108.09999847412099</v>
      </c>
      <c r="J19" s="156">
        <v>335.20999145507801</v>
      </c>
      <c r="K19" s="157">
        <v>131.34203028564599</v>
      </c>
    </row>
    <row r="20" spans="1:11" x14ac:dyDescent="0.35">
      <c r="A20" s="154">
        <v>45057</v>
      </c>
      <c r="B20" s="156">
        <v>172.114281687003</v>
      </c>
      <c r="C20" s="156">
        <v>168.69999694824199</v>
      </c>
      <c r="D20" s="156">
        <v>28.877244539958799</v>
      </c>
      <c r="E20" s="156">
        <v>93.643176016229603</v>
      </c>
      <c r="F20" s="156">
        <v>305.24515135001099</v>
      </c>
      <c r="G20" s="156">
        <v>114.850904011788</v>
      </c>
      <c r="H20" s="156">
        <v>231.956777107763</v>
      </c>
      <c r="I20" s="156">
        <v>111.02999877929599</v>
      </c>
      <c r="J20" s="156">
        <v>334.98001098632801</v>
      </c>
      <c r="K20" s="157">
        <v>128.53331356401401</v>
      </c>
    </row>
    <row r="21" spans="1:11" x14ac:dyDescent="0.35">
      <c r="A21" s="154">
        <v>45058</v>
      </c>
      <c r="B21" s="156">
        <v>172.12430116865099</v>
      </c>
      <c r="C21" s="156">
        <v>176.07000732421801</v>
      </c>
      <c r="D21" s="156">
        <v>28.5104841059302</v>
      </c>
      <c r="E21" s="156">
        <v>91.213182011914398</v>
      </c>
      <c r="F21" s="156">
        <v>305.68815505667902</v>
      </c>
      <c r="G21" s="156">
        <v>116.124806602742</v>
      </c>
      <c r="H21" s="156">
        <v>235.62948997993001</v>
      </c>
      <c r="I21" s="156">
        <v>112.16000366210901</v>
      </c>
      <c r="J21" s="156">
        <v>344.760009765625</v>
      </c>
      <c r="K21" s="157">
        <v>130.26615470507599</v>
      </c>
    </row>
    <row r="22" spans="1:11" x14ac:dyDescent="0.35">
      <c r="A22" s="154">
        <v>45061</v>
      </c>
      <c r="B22" s="156">
        <v>171.66829871124901</v>
      </c>
      <c r="C22" s="156">
        <v>167.66000366210901</v>
      </c>
      <c r="D22" s="156">
        <v>28.4894970370317</v>
      </c>
      <c r="E22" s="156">
        <v>90.422945318226894</v>
      </c>
      <c r="F22" s="156">
        <v>304.26085429922398</v>
      </c>
      <c r="G22" s="156">
        <v>115.55752158860901</v>
      </c>
      <c r="H22" s="156">
        <v>235.80864551968</v>
      </c>
      <c r="I22" s="156">
        <v>111.150001525878</v>
      </c>
      <c r="J22" s="156">
        <v>340.61999511718699</v>
      </c>
      <c r="K22" s="157">
        <v>127.838312604523</v>
      </c>
    </row>
    <row r="23" spans="1:11" x14ac:dyDescent="0.35">
      <c r="A23" s="154">
        <v>45062</v>
      </c>
      <c r="B23" s="156">
        <v>170.508379613823</v>
      </c>
      <c r="C23" s="156">
        <v>165.64999389648401</v>
      </c>
      <c r="D23" s="156">
        <v>28.822283866319001</v>
      </c>
      <c r="E23" s="156">
        <v>90.916851703743504</v>
      </c>
      <c r="F23" s="156">
        <v>304.97939576307601</v>
      </c>
      <c r="G23" s="156">
        <v>115.93571083863699</v>
      </c>
      <c r="H23" s="156">
        <v>234.68392179887499</v>
      </c>
      <c r="I23" s="156">
        <v>111.050003051757</v>
      </c>
      <c r="J23" s="156">
        <v>334</v>
      </c>
      <c r="K23" s="157">
        <v>128.97130971339101</v>
      </c>
    </row>
    <row r="24" spans="1:11" x14ac:dyDescent="0.35">
      <c r="A24" s="154">
        <v>45063</v>
      </c>
      <c r="B24" s="156">
        <v>170.230778175171</v>
      </c>
      <c r="C24" s="156">
        <v>168.41000366210901</v>
      </c>
      <c r="D24" s="156">
        <v>29.564796727282499</v>
      </c>
      <c r="E24" s="156">
        <v>89.909286933200406</v>
      </c>
      <c r="F24" s="156">
        <v>308.07289612814901</v>
      </c>
      <c r="G24" s="156">
        <v>119.040871494904</v>
      </c>
      <c r="H24" s="156">
        <v>237.33146629033999</v>
      </c>
      <c r="I24" s="156">
        <v>114.889999389648</v>
      </c>
      <c r="J24" s="156">
        <v>331.760009765625</v>
      </c>
      <c r="K24" s="157">
        <v>129.39021473208501</v>
      </c>
    </row>
    <row r="25" spans="1:11" x14ac:dyDescent="0.35">
      <c r="A25" s="154">
        <v>45064</v>
      </c>
      <c r="B25" s="156">
        <v>171.509664466164</v>
      </c>
      <c r="C25" s="156">
        <v>174.22000122070301</v>
      </c>
      <c r="D25" s="156">
        <v>30.390261648847101</v>
      </c>
      <c r="E25" s="156">
        <v>91.716960989662297</v>
      </c>
      <c r="F25" s="156">
        <v>310.28263990581098</v>
      </c>
      <c r="G25" s="156">
        <v>120.374492620225</v>
      </c>
      <c r="H25" s="156">
        <v>240.16810863951</v>
      </c>
      <c r="I25" s="156">
        <v>116.69000244140599</v>
      </c>
      <c r="J25" s="156">
        <v>347.25</v>
      </c>
      <c r="K25" s="157">
        <v>131.646702111792</v>
      </c>
    </row>
    <row r="26" spans="1:11" x14ac:dyDescent="0.35">
      <c r="A26" s="154">
        <v>45065</v>
      </c>
      <c r="B26" s="156">
        <v>174.8704617599</v>
      </c>
      <c r="C26" s="156">
        <v>177.169998168945</v>
      </c>
      <c r="D26" s="156">
        <v>31.5155304714755</v>
      </c>
      <c r="E26" s="156">
        <v>91.8651344347779</v>
      </c>
      <c r="F26" s="156">
        <v>312.46279877914498</v>
      </c>
      <c r="G26" s="156">
        <v>122.962114654232</v>
      </c>
      <c r="H26" s="156">
        <v>246.309164820392</v>
      </c>
      <c r="I26" s="156">
        <v>118.16000366210901</v>
      </c>
      <c r="J26" s="156">
        <v>369.85998535156199</v>
      </c>
      <c r="K26" s="157">
        <v>133.09385751200401</v>
      </c>
    </row>
    <row r="27" spans="1:11" x14ac:dyDescent="0.35">
      <c r="A27" s="154">
        <v>45068</v>
      </c>
      <c r="B27" s="156">
        <v>172.48118909452</v>
      </c>
      <c r="C27" s="156">
        <v>180.69999694824199</v>
      </c>
      <c r="D27" s="156">
        <v>30.880942499764998</v>
      </c>
      <c r="E27" s="156">
        <v>90.2155130749466</v>
      </c>
      <c r="F27" s="156">
        <v>314.29768758586602</v>
      </c>
      <c r="G27" s="156">
        <v>122.35502582680201</v>
      </c>
      <c r="H27" s="156">
        <v>244.258813457575</v>
      </c>
      <c r="I27" s="156">
        <v>116.76999664306599</v>
      </c>
      <c r="J27" s="156">
        <v>365.35998535156199</v>
      </c>
      <c r="K27" s="157">
        <v>134.24593226083601</v>
      </c>
    </row>
    <row r="28" spans="1:11" x14ac:dyDescent="0.35">
      <c r="A28" s="154">
        <v>45069</v>
      </c>
      <c r="B28" s="156">
        <v>171.63854396910099</v>
      </c>
      <c r="C28" s="156">
        <v>186.19999694824199</v>
      </c>
      <c r="D28" s="156">
        <v>30.9798829039084</v>
      </c>
      <c r="E28" s="156">
        <v>89.988309371797499</v>
      </c>
      <c r="F28" s="156">
        <v>315.70841472288498</v>
      </c>
      <c r="G28" s="156">
        <v>123.569222443472</v>
      </c>
      <c r="H28" s="156">
        <v>245.65222904514101</v>
      </c>
      <c r="I28" s="156">
        <v>114.26999664306599</v>
      </c>
      <c r="J28" s="156">
        <v>360.239990234375</v>
      </c>
      <c r="K28" s="157">
        <v>130.951640459983</v>
      </c>
    </row>
    <row r="29" spans="1:11" x14ac:dyDescent="0.35">
      <c r="A29" s="154">
        <v>45070</v>
      </c>
      <c r="B29" s="156">
        <v>169.61611066863901</v>
      </c>
      <c r="C29" s="156">
        <v>182.22999572753901</v>
      </c>
      <c r="D29" s="156">
        <v>30.190390811678299</v>
      </c>
      <c r="E29" s="156">
        <v>88.348580926152906</v>
      </c>
      <c r="F29" s="156">
        <v>310.47996842062901</v>
      </c>
      <c r="G29" s="156">
        <v>120.54368432083101</v>
      </c>
      <c r="H29" s="156">
        <v>244.129397466537</v>
      </c>
      <c r="I29" s="156">
        <v>115.34999847412099</v>
      </c>
      <c r="J29" s="156">
        <v>356.92999267578102</v>
      </c>
      <c r="K29" s="157">
        <v>128.91416400539899</v>
      </c>
    </row>
    <row r="30" spans="1:11" x14ac:dyDescent="0.35">
      <c r="A30" s="154">
        <v>45071</v>
      </c>
      <c r="B30" s="156">
        <v>170.92472013013699</v>
      </c>
      <c r="C30" s="156">
        <v>186.53999328613199</v>
      </c>
      <c r="D30" s="156">
        <v>38.497995807341397</v>
      </c>
      <c r="E30" s="156">
        <v>88.467107972931998</v>
      </c>
      <c r="F30" s="156">
        <v>318.87505739171098</v>
      </c>
      <c r="G30" s="156">
        <v>123.927500804757</v>
      </c>
      <c r="H30" s="156">
        <v>252.21133017450001</v>
      </c>
      <c r="I30" s="156">
        <v>116.629997253417</v>
      </c>
      <c r="J30" s="156">
        <v>359.60998535156199</v>
      </c>
      <c r="K30" s="157">
        <v>128.36192859334</v>
      </c>
    </row>
    <row r="31" spans="1:11" x14ac:dyDescent="0.35">
      <c r="A31" s="154">
        <v>45072</v>
      </c>
      <c r="B31" s="156">
        <v>171.826907963742</v>
      </c>
      <c r="C31" s="156">
        <v>184.61999511718699</v>
      </c>
      <c r="D31" s="156">
        <v>37.865404844397702</v>
      </c>
      <c r="E31" s="156">
        <v>87.410164746223799</v>
      </c>
      <c r="F31" s="156">
        <v>319.64446830879501</v>
      </c>
      <c r="G31" s="156">
        <v>122.583924040833</v>
      </c>
      <c r="H31" s="156">
        <v>251.74350980849499</v>
      </c>
      <c r="I31" s="156">
        <v>116.040000915527</v>
      </c>
      <c r="J31" s="156">
        <v>361.100006103515</v>
      </c>
      <c r="K31" s="157">
        <v>129.59015792692799</v>
      </c>
    </row>
    <row r="32" spans="1:11" x14ac:dyDescent="0.35">
      <c r="A32" s="154">
        <v>45076</v>
      </c>
      <c r="B32" s="156">
        <v>175.43553093054101</v>
      </c>
      <c r="C32" s="156">
        <v>200.100006103515</v>
      </c>
      <c r="D32" s="156">
        <v>40.568651755657399</v>
      </c>
      <c r="E32" s="156">
        <v>87.884304908877994</v>
      </c>
      <c r="F32" s="156">
        <v>330.70313021071303</v>
      </c>
      <c r="G32" s="156">
        <v>125.04218589426701</v>
      </c>
      <c r="H32" s="156">
        <v>264.00571774494</v>
      </c>
      <c r="I32" s="156">
        <v>122.370002746582</v>
      </c>
      <c r="J32" s="156">
        <v>397.48001098632801</v>
      </c>
      <c r="K32" s="157">
        <v>130.2471300496</v>
      </c>
    </row>
    <row r="33" spans="1:11" x14ac:dyDescent="0.35">
      <c r="A33" s="154">
        <v>45077</v>
      </c>
      <c r="B33" s="156">
        <v>175.80236562165601</v>
      </c>
      <c r="C33" s="156">
        <v>199.77999877929599</v>
      </c>
      <c r="D33" s="156">
        <v>39.462366287956101</v>
      </c>
      <c r="E33" s="156">
        <v>86.511274629564696</v>
      </c>
      <c r="F33" s="156">
        <v>327.80286545516498</v>
      </c>
      <c r="G33" s="156">
        <v>122.165930494584</v>
      </c>
      <c r="H33" s="156">
        <v>258.780350562492</v>
      </c>
      <c r="I33" s="156">
        <v>121.449996948242</v>
      </c>
      <c r="J33" s="156">
        <v>391.89001464843699</v>
      </c>
      <c r="K33" s="157">
        <v>130.18045027551901</v>
      </c>
    </row>
    <row r="34" spans="1:11" x14ac:dyDescent="0.35">
      <c r="A34" s="154">
        <v>45078</v>
      </c>
      <c r="B34" s="156">
        <v>176.16916396782699</v>
      </c>
      <c r="C34" s="156">
        <v>202.58999633789</v>
      </c>
      <c r="D34" s="156">
        <v>38.4640195259758</v>
      </c>
      <c r="E34" s="156">
        <v>87.321265325686895</v>
      </c>
      <c r="F34" s="156">
        <v>321.528673993712</v>
      </c>
      <c r="G34" s="156">
        <v>122.235590423047</v>
      </c>
      <c r="H34" s="156">
        <v>264.65266175333301</v>
      </c>
      <c r="I34" s="156">
        <v>120.69000244140599</v>
      </c>
      <c r="J34" s="156">
        <v>397.41000366210898</v>
      </c>
      <c r="K34" s="157">
        <v>129.980508614885</v>
      </c>
    </row>
    <row r="35" spans="1:11" x14ac:dyDescent="0.35">
      <c r="A35" s="154">
        <v>45079</v>
      </c>
      <c r="B35" s="156">
        <v>179.470471693382</v>
      </c>
      <c r="C35" s="156">
        <v>210.14999389648401</v>
      </c>
      <c r="D35" s="156">
        <v>40.070972345035003</v>
      </c>
      <c r="E35" s="156">
        <v>88.536250180737497</v>
      </c>
      <c r="F35" s="156">
        <v>329.73641531003398</v>
      </c>
      <c r="G35" s="156">
        <v>123.400025147474</v>
      </c>
      <c r="H35" s="156">
        <v>271.38096043335401</v>
      </c>
      <c r="I35" s="156">
        <v>124.919998168945</v>
      </c>
      <c r="J35" s="156">
        <v>402.89001464843699</v>
      </c>
      <c r="K35" s="157">
        <v>132.87488920637401</v>
      </c>
    </row>
    <row r="36" spans="1:11" x14ac:dyDescent="0.35">
      <c r="A36" s="154">
        <v>45082</v>
      </c>
      <c r="B36" s="156">
        <v>181.05670243794299</v>
      </c>
      <c r="C36" s="156">
        <v>217.80000305175699</v>
      </c>
      <c r="D36" s="156">
        <v>38.883749287222997</v>
      </c>
      <c r="E36" s="156">
        <v>90.087090397441699</v>
      </c>
      <c r="F36" s="156">
        <v>330.693285923573</v>
      </c>
      <c r="G36" s="156">
        <v>123.4199396481</v>
      </c>
      <c r="H36" s="156">
        <v>269.03199934748397</v>
      </c>
      <c r="I36" s="156">
        <v>123.36000061035099</v>
      </c>
      <c r="J36" s="156">
        <v>400.47000122070301</v>
      </c>
      <c r="K36" s="157">
        <v>133.39852800864901</v>
      </c>
    </row>
    <row r="37" spans="1:11" x14ac:dyDescent="0.35">
      <c r="A37" s="154">
        <v>45083</v>
      </c>
      <c r="B37" s="156">
        <v>178.41963092679001</v>
      </c>
      <c r="C37" s="156">
        <v>216.13999938964801</v>
      </c>
      <c r="D37" s="156">
        <v>38.804798328681798</v>
      </c>
      <c r="E37" s="156">
        <v>89.988315072202994</v>
      </c>
      <c r="F37" s="156">
        <v>330.80178511038901</v>
      </c>
      <c r="G37" s="156">
        <v>125.410421476694</v>
      </c>
      <c r="H37" s="156">
        <v>268.87282206188797</v>
      </c>
      <c r="I37" s="156">
        <v>125.06999969482401</v>
      </c>
      <c r="J37" s="156">
        <v>405</v>
      </c>
      <c r="K37" s="157">
        <v>132.03703194540401</v>
      </c>
    </row>
    <row r="38" spans="1:11" x14ac:dyDescent="0.35">
      <c r="A38" s="154">
        <v>45084</v>
      </c>
      <c r="B38" s="156">
        <v>176.90280103766099</v>
      </c>
      <c r="C38" s="156">
        <v>228</v>
      </c>
      <c r="D38" s="156">
        <v>38.893768456782801</v>
      </c>
      <c r="E38" s="156">
        <v>91.647812935472501</v>
      </c>
      <c r="F38" s="156">
        <v>327.17149729187997</v>
      </c>
      <c r="G38" s="156">
        <v>126.365846090931</v>
      </c>
      <c r="H38" s="156">
        <v>270.39564690722199</v>
      </c>
      <c r="I38" s="156">
        <v>127.01000213623</v>
      </c>
      <c r="J38" s="156">
        <v>410.42999267578102</v>
      </c>
      <c r="K38" s="157">
        <v>132.865383155155</v>
      </c>
    </row>
    <row r="39" spans="1:11" x14ac:dyDescent="0.35">
      <c r="A39" s="154">
        <v>45085</v>
      </c>
      <c r="B39" s="156">
        <v>176.367438022144</v>
      </c>
      <c r="C39" s="156">
        <v>224.22000122070301</v>
      </c>
      <c r="D39" s="156">
        <v>37.703420255024803</v>
      </c>
      <c r="E39" s="156">
        <v>91.390983566386197</v>
      </c>
      <c r="F39" s="156">
        <v>319.565585109702</v>
      </c>
      <c r="G39" s="156">
        <v>121.648413604751</v>
      </c>
      <c r="H39" s="156">
        <v>259.39742161236802</v>
      </c>
      <c r="I39" s="156">
        <v>123.01000213623</v>
      </c>
      <c r="J39" s="156">
        <v>399.76998901367102</v>
      </c>
      <c r="K39" s="157">
        <v>133.93172222772199</v>
      </c>
    </row>
    <row r="40" spans="1:11" x14ac:dyDescent="0.35">
      <c r="A40" s="154">
        <v>45086</v>
      </c>
      <c r="B40" s="156">
        <v>179.93643394119101</v>
      </c>
      <c r="C40" s="156">
        <v>249.07000732421801</v>
      </c>
      <c r="D40" s="156">
        <v>39.015700581038097</v>
      </c>
      <c r="E40" s="156">
        <v>91.647815435435206</v>
      </c>
      <c r="F40" s="156">
        <v>320.60136411762102</v>
      </c>
      <c r="G40" s="156">
        <v>121.668308477203</v>
      </c>
      <c r="H40" s="156">
        <v>261.2487084407</v>
      </c>
      <c r="I40" s="156">
        <v>124.08000183105401</v>
      </c>
      <c r="J40" s="156">
        <v>424.5</v>
      </c>
      <c r="K40" s="157">
        <v>133.627073216996</v>
      </c>
    </row>
    <row r="41" spans="1:11" x14ac:dyDescent="0.35">
      <c r="A41" s="154">
        <v>45089</v>
      </c>
      <c r="B41" s="156">
        <v>179.70843057033801</v>
      </c>
      <c r="C41" s="156">
        <v>247.94000244140599</v>
      </c>
      <c r="D41" s="156">
        <v>39.1786092395146</v>
      </c>
      <c r="E41" s="156">
        <v>91.124279184400194</v>
      </c>
      <c r="F41" s="156">
        <v>324.14291252897499</v>
      </c>
      <c r="G41" s="156">
        <v>122.20573518054201</v>
      </c>
      <c r="H41" s="156">
        <v>265.91672985333503</v>
      </c>
      <c r="I41" s="156">
        <v>124.01999664306599</v>
      </c>
      <c r="J41" s="156">
        <v>418.829986572265</v>
      </c>
      <c r="K41" s="157">
        <v>134.31257979026799</v>
      </c>
    </row>
    <row r="42" spans="1:11" x14ac:dyDescent="0.35">
      <c r="A42" s="154">
        <v>45090</v>
      </c>
      <c r="B42" s="156">
        <v>181.2252186929</v>
      </c>
      <c r="C42" s="156">
        <v>253.509994506835</v>
      </c>
      <c r="D42" s="156">
        <v>40.164076100144499</v>
      </c>
      <c r="E42" s="156">
        <v>92.971474783018706</v>
      </c>
      <c r="F42" s="156">
        <v>329.95341049295899</v>
      </c>
      <c r="G42" s="156">
        <v>124.38532858556199</v>
      </c>
      <c r="H42" s="156">
        <v>273.590569687038</v>
      </c>
      <c r="I42" s="156">
        <v>128.11999511718699</v>
      </c>
      <c r="J42" s="156">
        <v>430.010009765625</v>
      </c>
      <c r="K42" s="157">
        <v>133.750816196838</v>
      </c>
    </row>
    <row r="43" spans="1:11" x14ac:dyDescent="0.35">
      <c r="A43" s="154">
        <v>45091</v>
      </c>
      <c r="B43" s="156">
        <v>181.79033583961399</v>
      </c>
      <c r="C43" s="156">
        <v>260.17001342773398</v>
      </c>
      <c r="D43" s="156">
        <v>40.801726574918703</v>
      </c>
      <c r="E43" s="156">
        <v>93.109748466001605</v>
      </c>
      <c r="F43" s="156">
        <v>329.82514873595397</v>
      </c>
      <c r="G43" s="156">
        <v>122.51427067464</v>
      </c>
      <c r="H43" s="156">
        <v>270.61460623980003</v>
      </c>
      <c r="I43" s="156">
        <v>126.699996948242</v>
      </c>
      <c r="J43" s="156">
        <v>434.989990234375</v>
      </c>
      <c r="K43" s="157">
        <v>136.15011190389299</v>
      </c>
    </row>
    <row r="44" spans="1:11" x14ac:dyDescent="0.35">
      <c r="A44" s="154">
        <v>45092</v>
      </c>
      <c r="B44" s="156">
        <v>182.37526480569201</v>
      </c>
      <c r="C44" s="156">
        <v>248.39999389648401</v>
      </c>
      <c r="D44" s="156">
        <v>42.578759359568998</v>
      </c>
      <c r="E44" s="156">
        <v>90.936596178811499</v>
      </c>
      <c r="F44" s="156">
        <v>332.92273801003699</v>
      </c>
      <c r="G44" s="156">
        <v>122.55407071303</v>
      </c>
      <c r="H44" s="156">
        <v>271.022640593787</v>
      </c>
      <c r="I44" s="156">
        <v>125.209999084472</v>
      </c>
      <c r="J44" s="156">
        <v>444.100006103515</v>
      </c>
      <c r="K44" s="157">
        <v>133.855532420039</v>
      </c>
    </row>
    <row r="45" spans="1:11" x14ac:dyDescent="0.35">
      <c r="A45" s="154">
        <v>45093</v>
      </c>
      <c r="B45" s="156">
        <v>185.12137027990599</v>
      </c>
      <c r="C45" s="156">
        <v>258.92001342773398</v>
      </c>
      <c r="D45" s="156">
        <v>43.426290778331598</v>
      </c>
      <c r="E45" s="156">
        <v>91.746588447213</v>
      </c>
      <c r="F45" s="156">
        <v>346.57586654972999</v>
      </c>
      <c r="G45" s="156">
        <v>125.330804516523</v>
      </c>
      <c r="H45" s="156">
        <v>283.41426333498703</v>
      </c>
      <c r="I45" s="156">
        <v>127.709999084472</v>
      </c>
      <c r="J45" s="156">
        <v>446.14999389648398</v>
      </c>
      <c r="K45" s="157">
        <v>136.197726703375</v>
      </c>
    </row>
    <row r="46" spans="1:11" x14ac:dyDescent="0.35">
      <c r="A46" s="154">
        <v>45097</v>
      </c>
      <c r="B46" s="156">
        <v>182.82137659501501</v>
      </c>
      <c r="C46" s="156">
        <v>261.5</v>
      </c>
      <c r="D46" s="156">
        <v>42.974540163328001</v>
      </c>
      <c r="E46" s="156">
        <v>89.188204142414804</v>
      </c>
      <c r="F46" s="156">
        <v>334.72804129963203</v>
      </c>
      <c r="G46" s="156">
        <v>122.34507006124301</v>
      </c>
      <c r="H46" s="156">
        <v>277.42250930200998</v>
      </c>
      <c r="I46" s="156">
        <v>124.970001220703</v>
      </c>
      <c r="J46" s="156">
        <v>430.17999267578102</v>
      </c>
      <c r="K46" s="157">
        <v>135.778806363803</v>
      </c>
    </row>
    <row r="47" spans="1:11" x14ac:dyDescent="0.35">
      <c r="A47" s="154">
        <v>45098</v>
      </c>
      <c r="B47" s="156">
        <v>183.30713360389001</v>
      </c>
      <c r="C47" s="156">
        <v>275.13000488281199</v>
      </c>
      <c r="D47" s="156">
        <v>43.477267401994901</v>
      </c>
      <c r="E47" s="156">
        <v>88.457233329104298</v>
      </c>
      <c r="F47" s="156">
        <v>331.82771592550699</v>
      </c>
      <c r="G47" s="156">
        <v>121.817598098017</v>
      </c>
      <c r="H47" s="156">
        <v>282.19999663631</v>
      </c>
      <c r="I47" s="156">
        <v>125.639999389648</v>
      </c>
      <c r="J47" s="156">
        <v>432.64999389648398</v>
      </c>
      <c r="K47" s="157">
        <v>136.054905295043</v>
      </c>
    </row>
    <row r="48" spans="1:11" x14ac:dyDescent="0.35">
      <c r="A48" s="154">
        <v>45099</v>
      </c>
      <c r="B48" s="156">
        <v>182.15715766621599</v>
      </c>
      <c r="C48" s="156">
        <v>250.77000427246</v>
      </c>
      <c r="D48" s="156">
        <v>42.229947677901301</v>
      </c>
      <c r="E48" s="156">
        <v>87.360778545825795</v>
      </c>
      <c r="F48" s="156">
        <v>329.60813943386398</v>
      </c>
      <c r="G48" s="156">
        <v>119.42902020919099</v>
      </c>
      <c r="H48" s="156">
        <v>277.77082956228497</v>
      </c>
      <c r="I48" s="156">
        <v>125.309997558593</v>
      </c>
      <c r="J48" s="156">
        <v>422.92999267578102</v>
      </c>
      <c r="K48" s="157">
        <v>135.49313038426001</v>
      </c>
    </row>
    <row r="49" spans="1:11" x14ac:dyDescent="0.35">
      <c r="A49" s="154">
        <v>45100</v>
      </c>
      <c r="B49" s="156">
        <v>183.95156788104501</v>
      </c>
      <c r="C49" s="156">
        <v>259.29000854492102</v>
      </c>
      <c r="D49" s="156">
        <v>42.440832245341703</v>
      </c>
      <c r="E49" s="156">
        <v>86.945899653198794</v>
      </c>
      <c r="F49" s="156">
        <v>329.84488052460898</v>
      </c>
      <c r="G49" s="156">
        <v>120.80244235467499</v>
      </c>
      <c r="H49" s="156">
        <v>280.18947736022301</v>
      </c>
      <c r="I49" s="156">
        <v>129.11000061035099</v>
      </c>
      <c r="J49" s="156">
        <v>418.58999633789</v>
      </c>
      <c r="K49" s="157">
        <v>131.90376599122899</v>
      </c>
    </row>
    <row r="50" spans="1:11" x14ac:dyDescent="0.35">
      <c r="A50" s="154">
        <v>45103</v>
      </c>
      <c r="B50" s="156">
        <v>185.220508770766</v>
      </c>
      <c r="C50" s="156">
        <v>250.07000732421801</v>
      </c>
      <c r="D50" s="156">
        <v>42.437829513941097</v>
      </c>
      <c r="E50" s="156">
        <v>86.965664894798806</v>
      </c>
      <c r="F50" s="156">
        <v>329.21354543264903</v>
      </c>
      <c r="G50" s="156">
        <v>120.185399758464</v>
      </c>
      <c r="H50" s="156">
        <v>287.34578149202599</v>
      </c>
      <c r="I50" s="156">
        <v>129.33000183105401</v>
      </c>
      <c r="J50" s="156">
        <v>422.44000244140602</v>
      </c>
      <c r="K50" s="157">
        <v>132.217934983764</v>
      </c>
    </row>
    <row r="51" spans="1:11" x14ac:dyDescent="0.35">
      <c r="A51" s="154">
        <v>45104</v>
      </c>
      <c r="B51" s="156">
        <v>184.28862175731601</v>
      </c>
      <c r="C51" s="156">
        <v>243.24000549316401</v>
      </c>
      <c r="D51" s="156">
        <v>40.776737424846402</v>
      </c>
      <c r="E51" s="156">
        <v>87.815169568107606</v>
      </c>
      <c r="F51" s="156">
        <v>327.37863643109398</v>
      </c>
      <c r="G51" s="156">
        <v>116.52290793494799</v>
      </c>
      <c r="H51" s="156">
        <v>280.68712477465101</v>
      </c>
      <c r="I51" s="156">
        <v>128.63000488281199</v>
      </c>
      <c r="J51" s="156">
        <v>417.39001464843699</v>
      </c>
      <c r="K51" s="157">
        <v>132.34171817695599</v>
      </c>
    </row>
    <row r="52" spans="1:11" x14ac:dyDescent="0.35">
      <c r="A52" s="154">
        <v>45105</v>
      </c>
      <c r="B52" s="156">
        <v>186.31103877905699</v>
      </c>
      <c r="C52" s="156">
        <v>249.69999694824199</v>
      </c>
      <c r="D52" s="156">
        <v>40.637818733572502</v>
      </c>
      <c r="E52" s="156">
        <v>88.299181415739895</v>
      </c>
      <c r="F52" s="156">
        <v>330.140794992461</v>
      </c>
      <c r="G52" s="156">
        <v>116.532860761904</v>
      </c>
      <c r="H52" s="156">
        <v>283.48395520042499</v>
      </c>
      <c r="I52" s="156">
        <v>128.94000244140599</v>
      </c>
      <c r="J52" s="156">
        <v>423.100006103515</v>
      </c>
      <c r="K52" s="157">
        <v>132.49404288979599</v>
      </c>
    </row>
    <row r="53" spans="1:11" x14ac:dyDescent="0.35">
      <c r="A53" s="154">
        <v>45106</v>
      </c>
      <c r="B53" s="156">
        <v>187.45112504213699</v>
      </c>
      <c r="C53" s="156">
        <v>258.02999877929602</v>
      </c>
      <c r="D53" s="156">
        <v>41.535323050585802</v>
      </c>
      <c r="E53" s="156">
        <v>86.728587110347107</v>
      </c>
      <c r="F53" s="156">
        <v>330.19016860066102</v>
      </c>
      <c r="G53" s="156">
        <v>118.67262791972</v>
      </c>
      <c r="H53" s="156">
        <v>283.16548130523199</v>
      </c>
      <c r="I53" s="156">
        <v>128.77000427246</v>
      </c>
      <c r="J53" s="156">
        <v>434.329986572265</v>
      </c>
      <c r="K53" s="157">
        <v>133.360471598902</v>
      </c>
    </row>
    <row r="54" spans="1:11" x14ac:dyDescent="0.35">
      <c r="A54" s="154">
        <v>45107</v>
      </c>
      <c r="B54" s="156">
        <v>189.97917321826301</v>
      </c>
      <c r="C54" s="156">
        <v>260.600006103515</v>
      </c>
      <c r="D54" s="156">
        <v>41.657256974665302</v>
      </c>
      <c r="E54" s="156">
        <v>88.091743040452201</v>
      </c>
      <c r="F54" s="156">
        <v>333.18907357098402</v>
      </c>
      <c r="G54" s="156">
        <v>119.598204616586</v>
      </c>
      <c r="H54" s="156">
        <v>283.42423213890902</v>
      </c>
      <c r="I54" s="156">
        <v>129.47000122070301</v>
      </c>
      <c r="J54" s="156">
        <v>431.100006103515</v>
      </c>
      <c r="K54" s="157">
        <v>137.67346149876099</v>
      </c>
    </row>
    <row r="55" spans="1:11" x14ac:dyDescent="0.35">
      <c r="A55" s="154">
        <v>45110</v>
      </c>
      <c r="B55" s="156">
        <v>192.11066863921201</v>
      </c>
      <c r="C55" s="156">
        <v>276.489990234375</v>
      </c>
      <c r="D55" s="156">
        <v>42.493797772318899</v>
      </c>
      <c r="E55" s="156">
        <v>88.032480227849007</v>
      </c>
      <c r="F55" s="156">
        <v>334.60964977189298</v>
      </c>
      <c r="G55" s="156">
        <v>118.67263503107</v>
      </c>
      <c r="H55" s="156">
        <v>285.355116930311</v>
      </c>
      <c r="I55" s="156">
        <v>130.82000732421801</v>
      </c>
      <c r="J55" s="156">
        <v>439.760009765625</v>
      </c>
      <c r="K55" s="157">
        <v>139.187309016543</v>
      </c>
    </row>
    <row r="56" spans="1:11" x14ac:dyDescent="0.35">
      <c r="A56" s="154">
        <v>45112</v>
      </c>
      <c r="B56" s="156">
        <v>189.919685349563</v>
      </c>
      <c r="C56" s="156">
        <v>278.82000732421801</v>
      </c>
      <c r="D56" s="156">
        <v>42.1120110676137</v>
      </c>
      <c r="E56" s="156">
        <v>89.010392544243999</v>
      </c>
      <c r="F56" s="156">
        <v>330.56503352059798</v>
      </c>
      <c r="G56" s="156">
        <v>118.672625859769</v>
      </c>
      <c r="H56" s="156">
        <v>286.30065735614602</v>
      </c>
      <c r="I56" s="156">
        <v>130.24000549316401</v>
      </c>
      <c r="J56" s="156">
        <v>444.91000366210898</v>
      </c>
      <c r="K56" s="157">
        <v>138.944896981037</v>
      </c>
    </row>
    <row r="57" spans="1:11" x14ac:dyDescent="0.35">
      <c r="A57" s="154">
        <v>45113</v>
      </c>
      <c r="B57" s="156">
        <v>188.20457782150899</v>
      </c>
      <c r="C57" s="156">
        <v>278.08999633789</v>
      </c>
      <c r="D57" s="156">
        <v>41.8211709772361</v>
      </c>
      <c r="E57" s="156">
        <v>87.587966626366807</v>
      </c>
      <c r="F57" s="156">
        <v>332.74513862980598</v>
      </c>
      <c r="G57" s="156">
        <v>119.229975384413</v>
      </c>
      <c r="H57" s="156">
        <v>294.50203016136197</v>
      </c>
      <c r="I57" s="156">
        <v>128.25</v>
      </c>
      <c r="J57" s="156">
        <v>440</v>
      </c>
      <c r="K57" s="157">
        <v>137.10430982086999</v>
      </c>
    </row>
    <row r="58" spans="1:11" x14ac:dyDescent="0.35">
      <c r="A58" s="154">
        <v>45114</v>
      </c>
      <c r="B58" s="156">
        <v>189.76106040417301</v>
      </c>
      <c r="C58" s="156">
        <v>278.42999267578102</v>
      </c>
      <c r="D58" s="156">
        <v>42.298907804591998</v>
      </c>
      <c r="E58" s="156">
        <v>87.232359498840097</v>
      </c>
      <c r="F58" s="156">
        <v>334.737907868977</v>
      </c>
      <c r="G58" s="156">
        <v>119.528536438991</v>
      </c>
      <c r="H58" s="156">
        <v>290.80939867670099</v>
      </c>
      <c r="I58" s="156">
        <v>128.58999633789</v>
      </c>
      <c r="J58" s="156">
        <v>438.600006103515</v>
      </c>
      <c r="K58" s="157">
        <v>137.95751339332799</v>
      </c>
    </row>
    <row r="59" spans="1:11" x14ac:dyDescent="0.35">
      <c r="A59" s="154">
        <v>45117</v>
      </c>
      <c r="B59" s="156">
        <v>187.62959342703999</v>
      </c>
      <c r="C59" s="156">
        <v>276.47000122070301</v>
      </c>
      <c r="D59" s="156">
        <v>42.633723309603198</v>
      </c>
      <c r="E59" s="156">
        <v>87.173096307987805</v>
      </c>
      <c r="F59" s="156">
        <v>330.08161258315999</v>
      </c>
      <c r="G59" s="156">
        <v>117.737107944985</v>
      </c>
      <c r="H59" s="156">
        <v>294.16360851642997</v>
      </c>
      <c r="I59" s="156">
        <v>129.07000732421801</v>
      </c>
      <c r="J59" s="156">
        <v>438.51998901367102</v>
      </c>
      <c r="K59" s="157">
        <v>138.523101271478</v>
      </c>
    </row>
    <row r="60" spans="1:11" x14ac:dyDescent="0.35">
      <c r="A60" s="154">
        <v>45118</v>
      </c>
      <c r="B60" s="156">
        <v>187.53044524382901</v>
      </c>
      <c r="C60" s="156">
        <v>268.64999389648398</v>
      </c>
      <c r="D60" s="156">
        <v>42.457821388338203</v>
      </c>
      <c r="E60" s="156">
        <v>87.123697735540105</v>
      </c>
      <c r="F60" s="156">
        <v>326.58944439701003</v>
      </c>
      <c r="G60" s="156">
        <v>115.73667231326399</v>
      </c>
      <c r="H60" s="156">
        <v>292.521325731052</v>
      </c>
      <c r="I60" s="156">
        <v>127.75</v>
      </c>
      <c r="J60" s="156">
        <v>438.64999389648398</v>
      </c>
      <c r="K60" s="157">
        <v>140.286966197532</v>
      </c>
    </row>
    <row r="61" spans="1:11" x14ac:dyDescent="0.35">
      <c r="A61" s="154">
        <v>45119</v>
      </c>
      <c r="B61" s="156">
        <v>188.04595669719501</v>
      </c>
      <c r="C61" s="156">
        <v>276.329986572265</v>
      </c>
      <c r="D61" s="156">
        <v>43.009518839988203</v>
      </c>
      <c r="E61" s="156">
        <v>89.010398710035105</v>
      </c>
      <c r="F61" s="156">
        <v>332.05464164285399</v>
      </c>
      <c r="G61" s="156">
        <v>118.234726526694</v>
      </c>
      <c r="H61" s="156">
        <v>300.33449375733301</v>
      </c>
      <c r="I61" s="156">
        <v>130.30999755859301</v>
      </c>
      <c r="J61" s="156">
        <v>444.54998779296801</v>
      </c>
      <c r="K61" s="157">
        <v>141.35108198832199</v>
      </c>
    </row>
    <row r="62" spans="1:11" x14ac:dyDescent="0.35">
      <c r="A62" s="154">
        <v>45120</v>
      </c>
      <c r="B62" s="156">
        <v>188.85889555641199</v>
      </c>
      <c r="C62" s="156">
        <v>274.58999633789</v>
      </c>
      <c r="D62" s="156">
        <v>44.493715843632202</v>
      </c>
      <c r="E62" s="156">
        <v>89.445030520647506</v>
      </c>
      <c r="F62" s="156">
        <v>334.97463177917501</v>
      </c>
      <c r="G62" s="156">
        <v>120.354594605128</v>
      </c>
      <c r="H62" s="156">
        <v>312.148825735841</v>
      </c>
      <c r="I62" s="156">
        <v>134.03999328613199</v>
      </c>
      <c r="J62" s="156">
        <v>447</v>
      </c>
      <c r="K62" s="157">
        <v>142.54935946882699</v>
      </c>
    </row>
    <row r="63" spans="1:11" x14ac:dyDescent="0.35">
      <c r="A63" s="154">
        <v>45121</v>
      </c>
      <c r="B63" s="156">
        <v>188.59122781892401</v>
      </c>
      <c r="C63" s="156">
        <v>277.010009765625</v>
      </c>
      <c r="D63" s="156">
        <v>46.557581523415699</v>
      </c>
      <c r="E63" s="156">
        <v>89.306747347685501</v>
      </c>
      <c r="F63" s="156">
        <v>342.89618328373598</v>
      </c>
      <c r="G63" s="156">
        <v>124.20618186143901</v>
      </c>
      <c r="H63" s="156">
        <v>310.32742795194702</v>
      </c>
      <c r="I63" s="156">
        <v>134.05999755859301</v>
      </c>
      <c r="J63" s="156">
        <v>452.79000854492102</v>
      </c>
      <c r="K63" s="157">
        <v>145.28149231961601</v>
      </c>
    </row>
    <row r="64" spans="1:11" x14ac:dyDescent="0.35">
      <c r="A64" s="154">
        <v>45124</v>
      </c>
      <c r="B64" s="156">
        <v>190.24682570335901</v>
      </c>
      <c r="C64" s="156">
        <v>286.63000488281199</v>
      </c>
      <c r="D64" s="156">
        <v>46.263746641421598</v>
      </c>
      <c r="E64" s="156">
        <v>87.341023025165399</v>
      </c>
      <c r="F64" s="156">
        <v>341.01202797215899</v>
      </c>
      <c r="G64" s="156">
        <v>125.34074752508</v>
      </c>
      <c r="H64" s="156">
        <v>306.09736421785999</v>
      </c>
      <c r="I64" s="156">
        <v>134.55999755859301</v>
      </c>
      <c r="J64" s="156">
        <v>445.57000732421801</v>
      </c>
      <c r="K64" s="157">
        <v>144.13114216124501</v>
      </c>
    </row>
    <row r="65" spans="1:11" x14ac:dyDescent="0.35">
      <c r="A65" s="154">
        <v>45125</v>
      </c>
      <c r="B65" s="156">
        <v>191.68436478363299</v>
      </c>
      <c r="C65" s="156">
        <v>290.14999389648398</v>
      </c>
      <c r="D65" s="156">
        <v>46.675519644053601</v>
      </c>
      <c r="E65" s="156">
        <v>84.466535576797796</v>
      </c>
      <c r="F65" s="156">
        <v>341.15995676997801</v>
      </c>
      <c r="G65" s="156">
        <v>124.007119105645</v>
      </c>
      <c r="H65" s="156">
        <v>309.421717447194</v>
      </c>
      <c r="I65" s="156">
        <v>132.71000671386699</v>
      </c>
      <c r="J65" s="156">
        <v>451</v>
      </c>
      <c r="K65" s="157">
        <v>147.035797197466</v>
      </c>
    </row>
    <row r="66" spans="1:11" x14ac:dyDescent="0.35">
      <c r="A66" s="154">
        <v>45126</v>
      </c>
      <c r="B66" s="156">
        <v>191.43649527350601</v>
      </c>
      <c r="C66" s="156">
        <v>296.04000854492102</v>
      </c>
      <c r="D66" s="156">
        <v>47.438101358415402</v>
      </c>
      <c r="E66" s="156">
        <v>85.1481060237642</v>
      </c>
      <c r="F66" s="156">
        <v>356.865007733818</v>
      </c>
      <c r="G66" s="156">
        <v>124.007127210644</v>
      </c>
      <c r="H66" s="156">
        <v>311.56161677383102</v>
      </c>
      <c r="I66" s="156">
        <v>133.38999938964801</v>
      </c>
      <c r="J66" s="156">
        <v>476.85998535156199</v>
      </c>
      <c r="K66" s="157">
        <v>146.43184086878401</v>
      </c>
    </row>
    <row r="67" spans="1:11" x14ac:dyDescent="0.35">
      <c r="A67" s="154">
        <v>45127</v>
      </c>
      <c r="B67" s="156">
        <v>193.409354272531</v>
      </c>
      <c r="C67" s="156">
        <v>279.55999755859301</v>
      </c>
      <c r="D67" s="156">
        <v>46.4816239300213</v>
      </c>
      <c r="E67" s="156">
        <v>85.780291294389798</v>
      </c>
      <c r="F67" s="156">
        <v>348.79548040834499</v>
      </c>
      <c r="G67" s="156">
        <v>120.842258151587</v>
      </c>
      <c r="H67" s="156">
        <v>312.02939571621999</v>
      </c>
      <c r="I67" s="156">
        <v>134.07000732421801</v>
      </c>
      <c r="J67" s="156">
        <v>447</v>
      </c>
      <c r="K67" s="157">
        <v>148.138250348387</v>
      </c>
    </row>
    <row r="68" spans="1:11" x14ac:dyDescent="0.35">
      <c r="A68" s="154">
        <v>45128</v>
      </c>
      <c r="B68" s="156">
        <v>192.427894925868</v>
      </c>
      <c r="C68" s="156">
        <v>268</v>
      </c>
      <c r="D68" s="156">
        <v>45.763013620229103</v>
      </c>
      <c r="E68" s="156">
        <v>85.246891183328799</v>
      </c>
      <c r="F68" s="156">
        <v>344.43516229963802</v>
      </c>
      <c r="G68" s="156">
        <v>120.046072376627</v>
      </c>
      <c r="H68" s="156">
        <v>303.14127212343999</v>
      </c>
      <c r="I68" s="156">
        <v>131.33999633789</v>
      </c>
      <c r="J68" s="156">
        <v>437.36999511718699</v>
      </c>
      <c r="K68" s="157">
        <v>149.355695340241</v>
      </c>
    </row>
    <row r="69" spans="1:11" x14ac:dyDescent="0.35">
      <c r="A69" s="154">
        <v>45131</v>
      </c>
      <c r="B69" s="156">
        <v>191.74384126707099</v>
      </c>
      <c r="C69" s="156">
        <v>255.850006103515</v>
      </c>
      <c r="D69" s="156">
        <v>44.706592480146497</v>
      </c>
      <c r="E69" s="156">
        <v>86.422374681500798</v>
      </c>
      <c r="F69" s="156">
        <v>341.179734729355</v>
      </c>
      <c r="G69" s="156">
        <v>121.08112274560401</v>
      </c>
      <c r="H69" s="156">
        <v>294.392517646459</v>
      </c>
      <c r="I69" s="156">
        <v>130.30999755859301</v>
      </c>
      <c r="J69" s="156">
        <v>425</v>
      </c>
      <c r="K69" s="157">
        <v>148.56003632240501</v>
      </c>
    </row>
    <row r="70" spans="1:11" x14ac:dyDescent="0.35">
      <c r="A70" s="154">
        <v>45132</v>
      </c>
      <c r="B70" s="156">
        <v>191.66454650803999</v>
      </c>
      <c r="C70" s="156">
        <v>272.38000488281199</v>
      </c>
      <c r="D70" s="156">
        <v>44.916479357127699</v>
      </c>
      <c r="E70" s="156">
        <v>84.683845855346704</v>
      </c>
      <c r="F70" s="156">
        <v>342.42271258677999</v>
      </c>
      <c r="G70" s="156">
        <v>120.78254786383999</v>
      </c>
      <c r="H70" s="156">
        <v>293.80530787881298</v>
      </c>
      <c r="I70" s="156">
        <v>129.30999755859301</v>
      </c>
      <c r="J70" s="156">
        <v>427.17999267578102</v>
      </c>
      <c r="K70" s="157">
        <v>150.79366847530599</v>
      </c>
    </row>
    <row r="71" spans="1:11" x14ac:dyDescent="0.35">
      <c r="A71" s="154">
        <v>45133</v>
      </c>
      <c r="B71" s="156">
        <v>192.00159598861401</v>
      </c>
      <c r="C71" s="156">
        <v>263.25</v>
      </c>
      <c r="D71" s="156">
        <v>45.995890105777598</v>
      </c>
      <c r="E71" s="156">
        <v>84.624572007058404</v>
      </c>
      <c r="F71" s="156">
        <v>336.82928631733301</v>
      </c>
      <c r="G71" s="156">
        <v>129.45111902909801</v>
      </c>
      <c r="H71" s="156">
        <v>299.77716925869498</v>
      </c>
      <c r="I71" s="156">
        <v>126.51000213623</v>
      </c>
      <c r="J71" s="156">
        <v>424.20001220703102</v>
      </c>
      <c r="K71" s="157">
        <v>150.22806165139301</v>
      </c>
    </row>
    <row r="72" spans="1:11" x14ac:dyDescent="0.35">
      <c r="A72" s="154">
        <v>45134</v>
      </c>
      <c r="B72" s="156">
        <v>194.33133203774901</v>
      </c>
      <c r="C72" s="156">
        <v>268.30999755859301</v>
      </c>
      <c r="D72" s="156">
        <v>46.493619787389903</v>
      </c>
      <c r="E72" s="156">
        <v>85.543225644376193</v>
      </c>
      <c r="F72" s="156">
        <v>335.88224097974501</v>
      </c>
      <c r="G72" s="156">
        <v>131.04348970124599</v>
      </c>
      <c r="H72" s="156">
        <v>323.59487008224301</v>
      </c>
      <c r="I72" s="156">
        <v>131</v>
      </c>
      <c r="J72" s="156">
        <v>426.89999389648398</v>
      </c>
      <c r="K72" s="157">
        <v>151.244219989898</v>
      </c>
    </row>
    <row r="73" spans="1:11" x14ac:dyDescent="0.35">
      <c r="A73" s="154">
        <v>45135</v>
      </c>
      <c r="B73" s="156">
        <v>192.992979504137</v>
      </c>
      <c r="C73" s="156">
        <v>259.85998535156199</v>
      </c>
      <c r="D73" s="156">
        <v>46.642535130211897</v>
      </c>
      <c r="E73" s="156">
        <v>84.812254718351994</v>
      </c>
      <c r="F73" s="156">
        <v>329.16420605704201</v>
      </c>
      <c r="G73" s="156">
        <v>130.15771946410101</v>
      </c>
      <c r="H73" s="156">
        <v>315.39352251322998</v>
      </c>
      <c r="I73" s="156">
        <v>129.69000244140599</v>
      </c>
      <c r="J73" s="156">
        <v>415.55999755859301</v>
      </c>
      <c r="K73" s="157">
        <v>150.77449096622601</v>
      </c>
    </row>
    <row r="74" spans="1:11" x14ac:dyDescent="0.35">
      <c r="A74" s="154">
        <v>45138</v>
      </c>
      <c r="B74" s="156">
        <v>194.371004980507</v>
      </c>
      <c r="C74" s="156">
        <v>267.48001098632801</v>
      </c>
      <c r="D74" s="156">
        <v>46.728490538955199</v>
      </c>
      <c r="E74" s="156">
        <v>85.938346698434998</v>
      </c>
      <c r="F74" s="156">
        <v>332.370346396927</v>
      </c>
      <c r="G74" s="156">
        <v>132.09843266820499</v>
      </c>
      <c r="H74" s="156">
        <v>322.17158815910602</v>
      </c>
      <c r="I74" s="156">
        <v>133.19999694824199</v>
      </c>
      <c r="J74" s="156">
        <v>426.510009765625</v>
      </c>
      <c r="K74" s="157">
        <v>150.67864086615</v>
      </c>
    </row>
    <row r="75" spans="1:11" x14ac:dyDescent="0.35">
      <c r="A75" s="154">
        <v>45139</v>
      </c>
      <c r="B75" s="156">
        <v>194.54945856712999</v>
      </c>
      <c r="C75" s="156">
        <v>266.260009765625</v>
      </c>
      <c r="D75" s="156">
        <v>46.434649363103702</v>
      </c>
      <c r="E75" s="156">
        <v>88.032486291400204</v>
      </c>
      <c r="F75" s="156">
        <v>330.66369203212503</v>
      </c>
      <c r="G75" s="156">
        <v>130.15771659691899</v>
      </c>
      <c r="H75" s="156">
        <v>316.05046637065402</v>
      </c>
      <c r="I75" s="156">
        <v>133.55000305175699</v>
      </c>
      <c r="J75" s="156">
        <v>437.36999511718699</v>
      </c>
      <c r="K75" s="157">
        <v>150.91827873456501</v>
      </c>
    </row>
    <row r="76" spans="1:11" x14ac:dyDescent="0.35">
      <c r="A76" s="154">
        <v>45140</v>
      </c>
      <c r="B76" s="156">
        <v>193.359773993928</v>
      </c>
      <c r="C76" s="156">
        <v>255.57000732421801</v>
      </c>
      <c r="D76" s="156">
        <v>45.805998287808499</v>
      </c>
      <c r="E76" s="156">
        <v>87.182976295580801</v>
      </c>
      <c r="F76" s="156">
        <v>329.12474134255001</v>
      </c>
      <c r="G76" s="156">
        <v>128.834058324415</v>
      </c>
      <c r="H76" s="156">
        <v>316.50829482751698</v>
      </c>
      <c r="I76" s="156">
        <v>130.14999389648401</v>
      </c>
      <c r="J76" s="156">
        <v>435.23001098632801</v>
      </c>
      <c r="K76" s="157">
        <v>149.125629755429</v>
      </c>
    </row>
    <row r="77" spans="1:11" x14ac:dyDescent="0.35">
      <c r="A77" s="154">
        <v>45141</v>
      </c>
      <c r="B77" s="156">
        <v>189.91971082460199</v>
      </c>
      <c r="C77" s="156">
        <v>252.03999328613199</v>
      </c>
      <c r="D77" s="156">
        <v>43.776101176403898</v>
      </c>
      <c r="E77" s="156">
        <v>84.772744557363396</v>
      </c>
      <c r="F77" s="156">
        <v>321.59777970748303</v>
      </c>
      <c r="G77" s="156">
        <v>127.36109434055101</v>
      </c>
      <c r="H77" s="156">
        <v>308.47610816614798</v>
      </c>
      <c r="I77" s="156">
        <v>127.480003356933</v>
      </c>
      <c r="J77" s="156">
        <v>427.79998779296801</v>
      </c>
      <c r="K77" s="157">
        <v>148.58878360471201</v>
      </c>
    </row>
    <row r="78" spans="1:11" x14ac:dyDescent="0.35">
      <c r="A78" s="154">
        <v>45142</v>
      </c>
      <c r="B78" s="156">
        <v>183.92181504025899</v>
      </c>
      <c r="C78" s="156">
        <v>260.97000122070301</v>
      </c>
      <c r="D78" s="156">
        <v>44.960454456109296</v>
      </c>
      <c r="E78" s="156">
        <v>84.891287268795793</v>
      </c>
      <c r="F78" s="156">
        <v>327.39833886509098</v>
      </c>
      <c r="G78" s="156">
        <v>128.66485832646899</v>
      </c>
      <c r="H78" s="156">
        <v>313.48253785122603</v>
      </c>
      <c r="I78" s="156">
        <v>141.05999755859301</v>
      </c>
      <c r="J78" s="156">
        <v>433.05999755859301</v>
      </c>
      <c r="K78" s="157">
        <v>149.93087686331199</v>
      </c>
    </row>
    <row r="79" spans="1:11" x14ac:dyDescent="0.35">
      <c r="A79" s="154">
        <v>45145</v>
      </c>
      <c r="B79" s="156">
        <v>180.56100767716799</v>
      </c>
      <c r="C79" s="156">
        <v>251.44999694824199</v>
      </c>
      <c r="D79" s="156">
        <v>45.086386746173702</v>
      </c>
      <c r="E79" s="156">
        <v>85.602500191090996</v>
      </c>
      <c r="F79" s="156">
        <v>323.93575841104399</v>
      </c>
      <c r="G79" s="156">
        <v>128.54542623298201</v>
      </c>
      <c r="H79" s="156">
        <v>311.76070702016301</v>
      </c>
      <c r="I79" s="156">
        <v>140.99000549316401</v>
      </c>
      <c r="J79" s="156">
        <v>436.45999145507801</v>
      </c>
      <c r="K79" s="157">
        <v>150.12263010200201</v>
      </c>
    </row>
    <row r="80" spans="1:11" x14ac:dyDescent="0.35">
      <c r="A80" s="154">
        <v>45146</v>
      </c>
      <c r="B80" s="156">
        <v>178.142030383844</v>
      </c>
      <c r="C80" s="156">
        <v>247.44999694824199</v>
      </c>
      <c r="D80" s="156">
        <v>44.828533069288603</v>
      </c>
      <c r="E80" s="156">
        <v>85.444451201696694</v>
      </c>
      <c r="F80" s="156">
        <v>322.54480993915701</v>
      </c>
      <c r="G80" s="156">
        <v>129.99846246582501</v>
      </c>
      <c r="H80" s="156">
        <v>312.92515464412099</v>
      </c>
      <c r="I80" s="156">
        <v>140.61999511718699</v>
      </c>
      <c r="J80" s="156">
        <v>440.35998535156199</v>
      </c>
      <c r="K80" s="157">
        <v>147.93694665723601</v>
      </c>
    </row>
    <row r="81" spans="1:11" x14ac:dyDescent="0.35">
      <c r="A81" s="154">
        <v>45147</v>
      </c>
      <c r="B81" s="156">
        <v>179.311858405599</v>
      </c>
      <c r="C81" s="156">
        <v>250.86999511718699</v>
      </c>
      <c r="D81" s="156">
        <v>44.249839662592201</v>
      </c>
      <c r="E81" s="156">
        <v>88.111495361456605</v>
      </c>
      <c r="F81" s="156">
        <v>322.06145794853899</v>
      </c>
      <c r="G81" s="156">
        <v>131.03354397785401</v>
      </c>
      <c r="H81" s="156">
        <v>311.41232415491402</v>
      </c>
      <c r="I81" s="156">
        <v>139.97000122070301</v>
      </c>
      <c r="J81" s="156">
        <v>439.739990234375</v>
      </c>
      <c r="K81" s="157">
        <v>148.89554621395499</v>
      </c>
    </row>
    <row r="82" spans="1:11" x14ac:dyDescent="0.35">
      <c r="A82" s="154">
        <v>45148</v>
      </c>
      <c r="B82" s="156">
        <v>177.93381484794</v>
      </c>
      <c r="C82" s="156">
        <v>245.39999389648401</v>
      </c>
      <c r="D82" s="156">
        <v>42.136995743735</v>
      </c>
      <c r="E82" s="156">
        <v>88.872116138608803</v>
      </c>
      <c r="F82" s="156">
        <v>321.617514352993</v>
      </c>
      <c r="G82" s="156">
        <v>130.69515542515799</v>
      </c>
      <c r="H82" s="156">
        <v>306.49550897944499</v>
      </c>
      <c r="I82" s="156">
        <v>139.07000732421801</v>
      </c>
      <c r="J82" s="156">
        <v>431.11999511718699</v>
      </c>
      <c r="K82" s="157">
        <v>147.99444846438999</v>
      </c>
    </row>
    <row r="83" spans="1:11" x14ac:dyDescent="0.35">
      <c r="A83" s="154">
        <v>45149</v>
      </c>
      <c r="B83" s="156">
        <v>176.02983256684101</v>
      </c>
      <c r="C83" s="156">
        <v>241.77000427246</v>
      </c>
      <c r="D83" s="156">
        <v>41.728217445224701</v>
      </c>
      <c r="E83" s="156">
        <v>90.205637061979502</v>
      </c>
      <c r="F83" s="156">
        <v>315.93523781826002</v>
      </c>
      <c r="G83" s="156">
        <v>128.047815661958</v>
      </c>
      <c r="H83" s="156">
        <v>301.15066674834702</v>
      </c>
      <c r="I83" s="156">
        <v>137.39999389648401</v>
      </c>
      <c r="J83" s="156">
        <v>428.98001098632801</v>
      </c>
      <c r="K83" s="157">
        <v>146.700290506313</v>
      </c>
    </row>
    <row r="84" spans="1:11" x14ac:dyDescent="0.35">
      <c r="A84" s="154">
        <v>45152</v>
      </c>
      <c r="B84" s="156">
        <v>176.67510205578199</v>
      </c>
      <c r="C84" s="156">
        <v>235.69999694824199</v>
      </c>
      <c r="D84" s="156">
        <v>40.463906685181598</v>
      </c>
      <c r="E84" s="156">
        <v>87.904061102220993</v>
      </c>
      <c r="F84" s="156">
        <v>317.05003662682202</v>
      </c>
      <c r="G84" s="156">
        <v>128.774337102674</v>
      </c>
      <c r="H84" s="156">
        <v>299.56817077238901</v>
      </c>
      <c r="I84" s="156">
        <v>138.30000305175699</v>
      </c>
      <c r="J84" s="156">
        <v>421.989990234375</v>
      </c>
      <c r="K84" s="157">
        <v>147.256278595167</v>
      </c>
    </row>
    <row r="85" spans="1:11" x14ac:dyDescent="0.35">
      <c r="A85" s="154">
        <v>45153</v>
      </c>
      <c r="B85" s="156">
        <v>177.57849312046099</v>
      </c>
      <c r="C85" s="156">
        <v>238.72999572753901</v>
      </c>
      <c r="D85" s="156">
        <v>44.535691571886197</v>
      </c>
      <c r="E85" s="156">
        <v>86.916271302948005</v>
      </c>
      <c r="F85" s="156">
        <v>318.63829206231901</v>
      </c>
      <c r="G85" s="156">
        <v>130.47621742457699</v>
      </c>
      <c r="H85" s="156">
        <v>304.70394748127899</v>
      </c>
      <c r="I85" s="156">
        <v>140.05000305175699</v>
      </c>
      <c r="J85" s="156">
        <v>424.41000366210898</v>
      </c>
      <c r="K85" s="157">
        <v>146.527729683469</v>
      </c>
    </row>
    <row r="86" spans="1:11" x14ac:dyDescent="0.35">
      <c r="A86" s="154">
        <v>45154</v>
      </c>
      <c r="B86" s="156">
        <v>175.841231933177</v>
      </c>
      <c r="C86" s="156">
        <v>228.02000427246</v>
      </c>
      <c r="D86" s="156">
        <v>44.4957088555498</v>
      </c>
      <c r="E86" s="156">
        <v>85.483956125684003</v>
      </c>
      <c r="F86" s="156">
        <v>317.13801214006799</v>
      </c>
      <c r="G86" s="156">
        <v>128.08761596679599</v>
      </c>
      <c r="H86" s="156">
        <v>298.79176451241898</v>
      </c>
      <c r="I86" s="156">
        <v>137.19000244140599</v>
      </c>
      <c r="J86" s="156">
        <v>423.73001098632801</v>
      </c>
      <c r="K86" s="157">
        <v>144.37078222765999</v>
      </c>
    </row>
    <row r="87" spans="1:11" x14ac:dyDescent="0.35">
      <c r="A87" s="154">
        <v>45155</v>
      </c>
      <c r="B87" s="156">
        <v>175.85114660071301</v>
      </c>
      <c r="C87" s="156">
        <v>226.05999755859301</v>
      </c>
      <c r="D87" s="156">
        <v>43.9460085142899</v>
      </c>
      <c r="E87" s="156">
        <v>85.859325767413296</v>
      </c>
      <c r="F87" s="156">
        <v>316.88104207719698</v>
      </c>
      <c r="G87" s="156">
        <v>129.18239468568001</v>
      </c>
      <c r="H87" s="156">
        <v>291.67533797706199</v>
      </c>
      <c r="I87" s="156">
        <v>135.46000671386699</v>
      </c>
      <c r="J87" s="156">
        <v>415</v>
      </c>
      <c r="K87" s="157">
        <v>144.63920325309201</v>
      </c>
    </row>
    <row r="88" spans="1:11" x14ac:dyDescent="0.35">
      <c r="A88" s="154">
        <v>45156</v>
      </c>
      <c r="B88" s="156">
        <v>171.04636032936</v>
      </c>
      <c r="C88" s="156">
        <v>214.11999511718699</v>
      </c>
      <c r="D88" s="156">
        <v>42.611736188017503</v>
      </c>
      <c r="E88" s="156">
        <v>84.328244564520006</v>
      </c>
      <c r="F88" s="156">
        <v>310.90003574711102</v>
      </c>
      <c r="G88" s="156">
        <v>127.898514932027</v>
      </c>
      <c r="H88" s="156">
        <v>277.72108965942101</v>
      </c>
      <c r="I88" s="156">
        <v>131.61999511718699</v>
      </c>
      <c r="J88" s="156">
        <v>399.329986572265</v>
      </c>
      <c r="K88" s="157">
        <v>141.542803911985</v>
      </c>
    </row>
    <row r="89" spans="1:11" x14ac:dyDescent="0.35">
      <c r="A89" s="154">
        <v>45159</v>
      </c>
      <c r="B89" s="156">
        <v>173.79619085019999</v>
      </c>
      <c r="C89" s="156">
        <v>221.55000305175699</v>
      </c>
      <c r="D89" s="156">
        <v>44.469721715767697</v>
      </c>
      <c r="E89" s="156">
        <v>84.762870492600996</v>
      </c>
      <c r="F89" s="156">
        <v>314.30079649101202</v>
      </c>
      <c r="G89" s="156">
        <v>126.574853205045</v>
      </c>
      <c r="H89" s="156">
        <v>282.120374669971</v>
      </c>
      <c r="I89" s="156">
        <v>133.74000549316401</v>
      </c>
      <c r="J89" s="156">
        <v>402.23001098632801</v>
      </c>
      <c r="K89" s="157">
        <v>143.46005519635</v>
      </c>
    </row>
    <row r="90" spans="1:11" x14ac:dyDescent="0.35">
      <c r="A90" s="154">
        <v>45160</v>
      </c>
      <c r="B90" s="156">
        <v>175.77169895247201</v>
      </c>
      <c r="C90" s="156">
        <v>240.25</v>
      </c>
      <c r="D90" s="156">
        <v>48.108734662611603</v>
      </c>
      <c r="E90" s="156">
        <v>84.664092705531004</v>
      </c>
      <c r="F90" s="156">
        <v>321.78442064629701</v>
      </c>
      <c r="G90" s="156">
        <v>127.89850997505</v>
      </c>
      <c r="H90" s="156">
        <v>291.177677559259</v>
      </c>
      <c r="I90" s="156">
        <v>135.08000183105401</v>
      </c>
      <c r="J90" s="156">
        <v>409</v>
      </c>
      <c r="K90" s="157">
        <v>143.08621367754401</v>
      </c>
    </row>
    <row r="91" spans="1:11" x14ac:dyDescent="0.35">
      <c r="A91" s="154">
        <v>45161</v>
      </c>
      <c r="B91" s="156">
        <v>177.221111474135</v>
      </c>
      <c r="C91" s="156">
        <v>229.33999633789</v>
      </c>
      <c r="D91" s="156">
        <v>45.840975904298503</v>
      </c>
      <c r="E91" s="156">
        <v>84.762870757149003</v>
      </c>
      <c r="F91" s="156">
        <v>320.12351966266499</v>
      </c>
      <c r="G91" s="156">
        <v>129.56056100573201</v>
      </c>
      <c r="H91" s="156">
        <v>287.14667667048002</v>
      </c>
      <c r="I91" s="156">
        <v>134.5</v>
      </c>
      <c r="J91" s="156">
        <v>418.39999389648398</v>
      </c>
      <c r="K91" s="157">
        <v>140.29658396628599</v>
      </c>
    </row>
    <row r="92" spans="1:11" x14ac:dyDescent="0.35">
      <c r="A92" s="154">
        <v>45162</v>
      </c>
      <c r="B92" s="156">
        <v>179.355459364837</v>
      </c>
      <c r="C92" s="156">
        <v>238.66000366210901</v>
      </c>
      <c r="D92" s="156">
        <v>50.188599820400697</v>
      </c>
      <c r="E92" s="156">
        <v>84.466542772327699</v>
      </c>
      <c r="F92" s="156">
        <v>329.05048294908897</v>
      </c>
      <c r="G92" s="156">
        <v>133.31264769004099</v>
      </c>
      <c r="H92" s="156">
        <v>297.09979008588903</v>
      </c>
      <c r="I92" s="156">
        <v>136.39999389648401</v>
      </c>
      <c r="J92" s="156">
        <v>425.41000366210898</v>
      </c>
      <c r="K92" s="157">
        <v>141.39900340610001</v>
      </c>
    </row>
    <row r="93" spans="1:11" x14ac:dyDescent="0.35">
      <c r="A93" s="154">
        <v>45163</v>
      </c>
      <c r="B93" s="156">
        <v>176.08940889849799</v>
      </c>
      <c r="C93" s="156">
        <v>231.30999755859301</v>
      </c>
      <c r="D93" s="156">
        <v>46.986350354297798</v>
      </c>
      <c r="E93" s="156">
        <v>82.056303748405796</v>
      </c>
      <c r="F93" s="156">
        <v>317.80037904910603</v>
      </c>
      <c r="G93" s="156">
        <v>128.92361491657101</v>
      </c>
      <c r="H93" s="156">
        <v>284.78781623540698</v>
      </c>
      <c r="I93" s="156">
        <v>132.47000122070301</v>
      </c>
      <c r="J93" s="156">
        <v>412</v>
      </c>
      <c r="K93" s="157">
        <v>141.18811862015099</v>
      </c>
    </row>
    <row r="94" spans="1:11" x14ac:dyDescent="0.35">
      <c r="A94" s="154">
        <v>45166</v>
      </c>
      <c r="B94" s="156">
        <v>178.77967356057599</v>
      </c>
      <c r="C94" s="156">
        <v>242.58000183105401</v>
      </c>
      <c r="D94" s="156">
        <v>46.456636394936801</v>
      </c>
      <c r="E94" s="156">
        <v>82.807035999565102</v>
      </c>
      <c r="F94" s="156">
        <v>321.94253109979502</v>
      </c>
      <c r="G94" s="156">
        <v>130.68518749095301</v>
      </c>
      <c r="H94" s="156">
        <v>286.64899886870597</v>
      </c>
      <c r="I94" s="156">
        <v>133.77999877929599</v>
      </c>
      <c r="J94" s="156">
        <v>418.04000854492102</v>
      </c>
      <c r="K94" s="157">
        <v>141.466123445335</v>
      </c>
    </row>
    <row r="95" spans="1:11" x14ac:dyDescent="0.35">
      <c r="A95" s="154">
        <v>45167</v>
      </c>
      <c r="B95" s="156">
        <v>178.39251118833599</v>
      </c>
      <c r="C95" s="156">
        <v>238.58000183105401</v>
      </c>
      <c r="D95" s="156">
        <v>46.640540743084699</v>
      </c>
      <c r="E95" s="156">
        <v>82.767522190049206</v>
      </c>
      <c r="F95" s="156">
        <v>318.20567537420499</v>
      </c>
      <c r="G95" s="156">
        <v>131.610787430882</v>
      </c>
      <c r="H95" s="156">
        <v>287.22632991874201</v>
      </c>
      <c r="I95" s="156">
        <v>133.38000488281199</v>
      </c>
      <c r="J95" s="156">
        <v>416</v>
      </c>
      <c r="K95" s="157">
        <v>141.600330295665</v>
      </c>
    </row>
    <row r="96" spans="1:11" x14ac:dyDescent="0.35">
      <c r="A96" s="154">
        <v>45168</v>
      </c>
      <c r="B96" s="156">
        <v>183.594409227119</v>
      </c>
      <c r="C96" s="156">
        <v>254.19999694824199</v>
      </c>
      <c r="D96" s="156">
        <v>49.017240393630402</v>
      </c>
      <c r="E96" s="156">
        <v>83.370079506684505</v>
      </c>
      <c r="F96" s="156">
        <v>324.91817885052598</v>
      </c>
      <c r="G96" s="156">
        <v>134.13868742766101</v>
      </c>
      <c r="H96" s="156">
        <v>295.77602593765698</v>
      </c>
      <c r="I96" s="156">
        <v>134.92999267578099</v>
      </c>
      <c r="J96" s="156">
        <v>430.850006103515</v>
      </c>
      <c r="K96" s="157">
        <v>142.47267273604299</v>
      </c>
    </row>
    <row r="97" spans="1:11" x14ac:dyDescent="0.35">
      <c r="A97" s="154">
        <v>45169</v>
      </c>
      <c r="B97" s="156">
        <v>186.473286506189</v>
      </c>
      <c r="C97" s="156">
        <v>255.97999572753901</v>
      </c>
      <c r="D97" s="156">
        <v>49.353055662725801</v>
      </c>
      <c r="E97" s="156">
        <v>83.429339762970599</v>
      </c>
      <c r="F97" s="156">
        <v>325.44218047674298</v>
      </c>
      <c r="G97" s="156">
        <v>135.362852369622</v>
      </c>
      <c r="H97" s="156">
        <v>294.41244012300399</v>
      </c>
      <c r="I97" s="156">
        <v>135.05999755859301</v>
      </c>
      <c r="J97" s="156">
        <v>431.23001098632801</v>
      </c>
      <c r="K97" s="157">
        <v>142.127567844168</v>
      </c>
    </row>
    <row r="98" spans="1:11" x14ac:dyDescent="0.35">
      <c r="A98" s="154">
        <v>45170</v>
      </c>
      <c r="B98" s="156">
        <v>188.11129296200201</v>
      </c>
      <c r="C98" s="156">
        <v>257.260009765625</v>
      </c>
      <c r="D98" s="156">
        <v>49.734851033606802</v>
      </c>
      <c r="E98" s="156">
        <v>81.108018885415007</v>
      </c>
      <c r="F98" s="156">
        <v>327.52803845007998</v>
      </c>
      <c r="G98" s="156">
        <v>136.805949450328</v>
      </c>
      <c r="H98" s="156">
        <v>297.96571088735902</v>
      </c>
      <c r="I98" s="156">
        <v>139.46000671386699</v>
      </c>
      <c r="J98" s="156">
        <v>437.73001098632801</v>
      </c>
      <c r="K98" s="157">
        <v>140.047330789857</v>
      </c>
    </row>
    <row r="99" spans="1:11" x14ac:dyDescent="0.35">
      <c r="A99" s="154">
        <v>45174</v>
      </c>
      <c r="B99" s="156">
        <v>186.91008160149701</v>
      </c>
      <c r="C99" s="156">
        <v>245</v>
      </c>
      <c r="D99" s="156">
        <v>48.1966876451906</v>
      </c>
      <c r="E99" s="156">
        <v>80.426438381123106</v>
      </c>
      <c r="F99" s="156">
        <v>325.24441319237701</v>
      </c>
      <c r="G99" s="156">
        <v>134.79556128053301</v>
      </c>
      <c r="H99" s="156">
        <v>295.62671241672098</v>
      </c>
      <c r="I99" s="156">
        <v>137.72999572753901</v>
      </c>
      <c r="J99" s="156">
        <v>438.39001464843699</v>
      </c>
      <c r="K99" s="157">
        <v>141.07307317867301</v>
      </c>
    </row>
    <row r="100" spans="1:11" x14ac:dyDescent="0.35">
      <c r="A100" s="154">
        <v>45175</v>
      </c>
      <c r="B100" s="156">
        <v>187.02920802693001</v>
      </c>
      <c r="C100" s="156">
        <v>255.13999938964801</v>
      </c>
      <c r="D100" s="156">
        <v>48.418561612125401</v>
      </c>
      <c r="E100" s="156">
        <v>79.804122184778194</v>
      </c>
      <c r="F100" s="156">
        <v>329.57446216278998</v>
      </c>
      <c r="G100" s="156">
        <v>135.37279574679201</v>
      </c>
      <c r="H100" s="156">
        <v>300.29469528432099</v>
      </c>
      <c r="I100" s="156">
        <v>136.32000732421801</v>
      </c>
      <c r="J100" s="156">
        <v>448.60998535156199</v>
      </c>
      <c r="K100" s="157">
        <v>138.71481049904699</v>
      </c>
    </row>
    <row r="101" spans="1:11" x14ac:dyDescent="0.35">
      <c r="A101" s="154">
        <v>45176</v>
      </c>
      <c r="B101" s="156">
        <v>173.90540860927999</v>
      </c>
      <c r="C101" s="156">
        <v>245.07000732421801</v>
      </c>
      <c r="D101" s="156">
        <v>45.503906151225301</v>
      </c>
      <c r="E101" s="156">
        <v>79.833756511099494</v>
      </c>
      <c r="F101" s="156">
        <v>327.50829493686501</v>
      </c>
      <c r="G101" s="156">
        <v>132.95434213780999</v>
      </c>
      <c r="H101" s="156">
        <v>296.60211147258298</v>
      </c>
      <c r="I101" s="156">
        <v>133.89999389648401</v>
      </c>
      <c r="J101" s="156">
        <v>441.14999389648398</v>
      </c>
      <c r="K101" s="157">
        <v>138.16840492868999</v>
      </c>
    </row>
    <row r="102" spans="1:11" x14ac:dyDescent="0.35">
      <c r="A102" s="154">
        <v>45177</v>
      </c>
      <c r="B102" s="156">
        <v>177.05235186894299</v>
      </c>
      <c r="C102" s="156">
        <v>251.22000122070301</v>
      </c>
      <c r="D102" s="156">
        <v>45.920723255634201</v>
      </c>
      <c r="E102" s="156">
        <v>79.557178043405301</v>
      </c>
      <c r="F102" s="156">
        <v>326.32200676390499</v>
      </c>
      <c r="G102" s="156">
        <v>134.268072466989</v>
      </c>
      <c r="H102" s="156">
        <v>297.81639301480601</v>
      </c>
      <c r="I102" s="156">
        <v>136.86000061035099</v>
      </c>
      <c r="J102" s="156">
        <v>443.55999755859301</v>
      </c>
      <c r="K102" s="157">
        <v>137.43986439570901</v>
      </c>
    </row>
    <row r="103" spans="1:11" x14ac:dyDescent="0.35">
      <c r="A103" s="154">
        <v>45180</v>
      </c>
      <c r="B103" s="156">
        <v>178.759818122686</v>
      </c>
      <c r="C103" s="156">
        <v>264.26998901367102</v>
      </c>
      <c r="D103" s="156">
        <v>46.126614263596203</v>
      </c>
      <c r="E103" s="156">
        <v>80.940099139988604</v>
      </c>
      <c r="F103" s="156">
        <v>333.39031502564399</v>
      </c>
      <c r="G103" s="156">
        <v>135.890312157902</v>
      </c>
      <c r="H103" s="156">
        <v>299.99613386894202</v>
      </c>
      <c r="I103" s="156">
        <v>138.75</v>
      </c>
      <c r="J103" s="156">
        <v>443.07000732421801</v>
      </c>
      <c r="K103" s="157">
        <v>138.762770151376</v>
      </c>
    </row>
    <row r="104" spans="1:11" x14ac:dyDescent="0.35">
      <c r="A104" s="154">
        <v>45181</v>
      </c>
      <c r="B104" s="156">
        <v>178.18406545251901</v>
      </c>
      <c r="C104" s="156">
        <v>270.760009765625</v>
      </c>
      <c r="D104" s="156">
        <v>44.717270023272903</v>
      </c>
      <c r="E104" s="156">
        <v>82.016789649130999</v>
      </c>
      <c r="F104" s="156">
        <v>331.98657486979101</v>
      </c>
      <c r="G104" s="156">
        <v>135.611634989262</v>
      </c>
      <c r="H104" s="156">
        <v>304.89304136324603</v>
      </c>
      <c r="I104" s="156">
        <v>142.32000732421801</v>
      </c>
      <c r="J104" s="156">
        <v>442.850006103515</v>
      </c>
      <c r="K104" s="157">
        <v>138.523083011609</v>
      </c>
    </row>
    <row r="105" spans="1:11" x14ac:dyDescent="0.35">
      <c r="A105" s="154">
        <v>45182</v>
      </c>
      <c r="B105" s="156">
        <v>175.225712246341</v>
      </c>
      <c r="C105" s="156">
        <v>270.07000732421801</v>
      </c>
      <c r="D105" s="156">
        <v>44.579343573044497</v>
      </c>
      <c r="E105" s="156">
        <v>82.332885267065706</v>
      </c>
      <c r="F105" s="156">
        <v>327.52803797035602</v>
      </c>
      <c r="G105" s="156">
        <v>134.447207280746</v>
      </c>
      <c r="H105" s="156">
        <v>300.94168127568201</v>
      </c>
      <c r="I105" s="156">
        <v>140.94999694824199</v>
      </c>
      <c r="J105" s="156">
        <v>435.5</v>
      </c>
      <c r="K105" s="157">
        <v>141.245621157556</v>
      </c>
    </row>
    <row r="106" spans="1:11" x14ac:dyDescent="0.35">
      <c r="A106" s="154">
        <v>45183</v>
      </c>
      <c r="B106" s="156">
        <v>172.733988886454</v>
      </c>
      <c r="C106" s="156">
        <v>271.32000732421801</v>
      </c>
      <c r="D106" s="156">
        <v>45.928711637481499</v>
      </c>
      <c r="E106" s="156">
        <v>82.974958373833601</v>
      </c>
      <c r="F106" s="156">
        <v>335.27858536778598</v>
      </c>
      <c r="G106" s="156">
        <v>136.94528070062199</v>
      </c>
      <c r="H106" s="156">
        <v>305.301101250427</v>
      </c>
      <c r="I106" s="156">
        <v>145.08000183105401</v>
      </c>
      <c r="J106" s="156">
        <v>410.39999389648398</v>
      </c>
      <c r="K106" s="157">
        <v>141.72494741587201</v>
      </c>
    </row>
    <row r="107" spans="1:11" x14ac:dyDescent="0.35">
      <c r="A107" s="154">
        <v>45184</v>
      </c>
      <c r="B107" s="156">
        <v>175.19593888931399</v>
      </c>
      <c r="C107" s="156">
        <v>277.54998779296801</v>
      </c>
      <c r="D107" s="156">
        <v>45.3199919870953</v>
      </c>
      <c r="E107" s="156">
        <v>84.180075098069395</v>
      </c>
      <c r="F107" s="156">
        <v>333.07406239295199</v>
      </c>
      <c r="G107" s="156">
        <v>137.32345788063799</v>
      </c>
      <c r="H107" s="156">
        <v>310.14822473353598</v>
      </c>
      <c r="I107" s="156">
        <v>142.69000244140599</v>
      </c>
      <c r="J107" s="156">
        <v>401</v>
      </c>
      <c r="K107" s="157">
        <v>142.76026636296899</v>
      </c>
    </row>
    <row r="108" spans="1:11" x14ac:dyDescent="0.35">
      <c r="A108" s="154">
        <v>45187</v>
      </c>
      <c r="B108" s="156">
        <v>175.19593036523599</v>
      </c>
      <c r="C108" s="156">
        <v>271.16000366210898</v>
      </c>
      <c r="D108" s="156">
        <v>42.728194942636001</v>
      </c>
      <c r="E108" s="156">
        <v>84.199830014435506</v>
      </c>
      <c r="F108" s="156">
        <v>324.05808443893898</v>
      </c>
      <c r="G108" s="156">
        <v>135.95997529868001</v>
      </c>
      <c r="H108" s="156">
        <v>296.79120447861999</v>
      </c>
      <c r="I108" s="156">
        <v>140.47999572753901</v>
      </c>
      <c r="J108" s="156">
        <v>395.5</v>
      </c>
      <c r="K108" s="157">
        <v>142.031712192182</v>
      </c>
    </row>
    <row r="109" spans="1:11" x14ac:dyDescent="0.35">
      <c r="A109" s="154">
        <v>45188</v>
      </c>
      <c r="B109" s="156">
        <v>176.22839490317</v>
      </c>
      <c r="C109" s="156">
        <v>264.350006103515</v>
      </c>
      <c r="D109" s="156">
        <v>43.812694510683301</v>
      </c>
      <c r="E109" s="156">
        <v>82.895935778113994</v>
      </c>
      <c r="F109" s="156">
        <v>322.446705559853</v>
      </c>
      <c r="G109" s="156">
        <v>136.76613362163499</v>
      </c>
      <c r="H109" s="156">
        <v>301.06109967614901</v>
      </c>
      <c r="I109" s="156">
        <v>138.69999694824199</v>
      </c>
      <c r="J109" s="156">
        <v>392.83999633789</v>
      </c>
      <c r="K109" s="157">
        <v>143.31628198833701</v>
      </c>
    </row>
    <row r="110" spans="1:11" x14ac:dyDescent="0.35">
      <c r="A110" s="154">
        <v>45189</v>
      </c>
      <c r="B110" s="156">
        <v>177.95570880879299</v>
      </c>
      <c r="C110" s="156">
        <v>267.04000854492102</v>
      </c>
      <c r="D110" s="156">
        <v>43.5798024612088</v>
      </c>
      <c r="E110" s="156">
        <v>81.028997109922699</v>
      </c>
      <c r="F110" s="156">
        <v>325.74855777392003</v>
      </c>
      <c r="G110" s="156">
        <v>137.422983264556</v>
      </c>
      <c r="H110" s="156">
        <v>303.619019506043</v>
      </c>
      <c r="I110" s="156">
        <v>138.55000305175699</v>
      </c>
      <c r="J110" s="156">
        <v>397.04998779296801</v>
      </c>
      <c r="K110" s="157">
        <v>143.460075737675</v>
      </c>
    </row>
    <row r="111" spans="1:11" x14ac:dyDescent="0.35">
      <c r="A111" s="154">
        <v>45190</v>
      </c>
      <c r="B111" s="156">
        <v>173.279988968271</v>
      </c>
      <c r="C111" s="156">
        <v>257.850006103515</v>
      </c>
      <c r="D111" s="156">
        <v>41.563736977268597</v>
      </c>
      <c r="E111" s="156">
        <v>81.058629186951904</v>
      </c>
      <c r="F111" s="156">
        <v>315.615569791101</v>
      </c>
      <c r="G111" s="156">
        <v>130.81459306049001</v>
      </c>
      <c r="H111" s="156">
        <v>294.31291537923698</v>
      </c>
      <c r="I111" s="156">
        <v>131.94000244140599</v>
      </c>
      <c r="J111" s="156">
        <v>386.5</v>
      </c>
      <c r="K111" s="157">
        <v>141.47572741112401</v>
      </c>
    </row>
    <row r="112" spans="1:11" x14ac:dyDescent="0.35">
      <c r="A112" s="154">
        <v>45191</v>
      </c>
      <c r="B112" s="156">
        <v>173.39912745963201</v>
      </c>
      <c r="C112" s="156">
        <v>257.39999389648398</v>
      </c>
      <c r="D112" s="156">
        <v>41.552736723974903</v>
      </c>
      <c r="E112" s="156">
        <v>81.898261208316399</v>
      </c>
      <c r="F112" s="156">
        <v>317.65206379088198</v>
      </c>
      <c r="G112" s="156">
        <v>130.13780157378301</v>
      </c>
      <c r="H112" s="156">
        <v>297.89600168783198</v>
      </c>
      <c r="I112" s="156">
        <v>131.11000061035099</v>
      </c>
      <c r="J112" s="156">
        <v>385</v>
      </c>
      <c r="K112" s="157">
        <v>141.19768131851299</v>
      </c>
    </row>
    <row r="113" spans="1:11" x14ac:dyDescent="0.35">
      <c r="A113" s="154">
        <v>45194</v>
      </c>
      <c r="B113" s="156">
        <v>172.932532516154</v>
      </c>
      <c r="C113" s="156">
        <v>243.38000488281199</v>
      </c>
      <c r="D113" s="156">
        <v>41.571733940627396</v>
      </c>
      <c r="E113" s="156">
        <v>80.564730118358398</v>
      </c>
      <c r="F113" s="156">
        <v>312.976084977543</v>
      </c>
      <c r="G113" s="156">
        <v>129.212251918211</v>
      </c>
      <c r="H113" s="156">
        <v>294.25319695672601</v>
      </c>
      <c r="I113" s="156">
        <v>129.36000061035099</v>
      </c>
      <c r="J113" s="156">
        <v>382.89999389648398</v>
      </c>
      <c r="K113" s="157">
        <v>139.33794845883801</v>
      </c>
    </row>
    <row r="114" spans="1:11" x14ac:dyDescent="0.35">
      <c r="A114" s="154">
        <v>45195</v>
      </c>
      <c r="B114" s="156">
        <v>173.548038646745</v>
      </c>
      <c r="C114" s="156">
        <v>242.97999572753901</v>
      </c>
      <c r="D114" s="156">
        <v>41.981544768615699</v>
      </c>
      <c r="E114" s="156">
        <v>79.517671602279506</v>
      </c>
      <c r="F114" s="156">
        <v>311.53273267548201</v>
      </c>
      <c r="G114" s="156">
        <v>129.152531435371</v>
      </c>
      <c r="H114" s="156">
        <v>296.26369704779</v>
      </c>
      <c r="I114" s="156">
        <v>130.11999511718699</v>
      </c>
      <c r="J114" s="156">
        <v>382.88000488281199</v>
      </c>
      <c r="K114" s="157">
        <v>138.618965284344</v>
      </c>
    </row>
    <row r="115" spans="1:11" x14ac:dyDescent="0.35">
      <c r="A115" s="154">
        <v>45196</v>
      </c>
      <c r="B115" s="156">
        <v>171.36400935593201</v>
      </c>
      <c r="C115" s="156">
        <v>244.259994506835</v>
      </c>
      <c r="D115" s="156">
        <v>42.310389558967501</v>
      </c>
      <c r="E115" s="156">
        <v>79.142304355256996</v>
      </c>
      <c r="F115" s="156">
        <v>308.73505530094502</v>
      </c>
      <c r="G115" s="156">
        <v>127.95825647590399</v>
      </c>
      <c r="H115" s="156">
        <v>299.04063229395399</v>
      </c>
      <c r="I115" s="156">
        <v>125.76000213623</v>
      </c>
      <c r="J115" s="156">
        <v>382.39999389648398</v>
      </c>
      <c r="K115" s="157">
        <v>139.18454486144901</v>
      </c>
    </row>
    <row r="116" spans="1:11" x14ac:dyDescent="0.35">
      <c r="A116" s="154">
        <v>45197</v>
      </c>
      <c r="B116" s="156">
        <v>168.107890783979</v>
      </c>
      <c r="C116" s="156">
        <v>240.02000427246</v>
      </c>
      <c r="D116" s="156">
        <v>42.440324419102303</v>
      </c>
      <c r="E116" s="156">
        <v>79.300346969950695</v>
      </c>
      <c r="F116" s="156">
        <v>307.44000980318901</v>
      </c>
      <c r="G116" s="156">
        <v>129.222201786065</v>
      </c>
      <c r="H116" s="156">
        <v>297.53770836261901</v>
      </c>
      <c r="I116" s="156">
        <v>124.040000915527</v>
      </c>
      <c r="J116" s="156">
        <v>375.600006103515</v>
      </c>
      <c r="K116" s="157">
        <v>140.22947787224001</v>
      </c>
    </row>
    <row r="117" spans="1:11" x14ac:dyDescent="0.35">
      <c r="A117" s="154">
        <v>45198</v>
      </c>
      <c r="B117" s="156">
        <v>170.76838317446001</v>
      </c>
      <c r="C117" s="156">
        <v>250</v>
      </c>
      <c r="D117" s="156">
        <v>43.806694656973697</v>
      </c>
      <c r="E117" s="156">
        <v>79.675718591912201</v>
      </c>
      <c r="F117" s="156">
        <v>314.12283006246702</v>
      </c>
      <c r="G117" s="156">
        <v>132.64583394377499</v>
      </c>
      <c r="H117" s="156">
        <v>305.93810668906099</v>
      </c>
      <c r="I117" s="156">
        <v>128.19999694824199</v>
      </c>
      <c r="J117" s="156">
        <v>380</v>
      </c>
      <c r="K117" s="157">
        <v>142.45351462012599</v>
      </c>
    </row>
    <row r="118" spans="1:11" x14ac:dyDescent="0.35">
      <c r="A118" s="154">
        <v>45201</v>
      </c>
      <c r="B118" s="156">
        <v>169.97420357278401</v>
      </c>
      <c r="C118" s="156">
        <v>244.80999755859301</v>
      </c>
      <c r="D118" s="156">
        <v>44.009599054426502</v>
      </c>
      <c r="E118" s="156">
        <v>79.932537810987498</v>
      </c>
      <c r="F118" s="156">
        <v>312.66960950158199</v>
      </c>
      <c r="G118" s="156">
        <v>130.58569349746099</v>
      </c>
      <c r="H118" s="156">
        <v>301.31988938578201</v>
      </c>
      <c r="I118" s="156">
        <v>127.27999877929599</v>
      </c>
      <c r="J118" s="156">
        <v>377.48001098632801</v>
      </c>
      <c r="K118" s="157">
        <v>138.83945652718299</v>
      </c>
    </row>
    <row r="119" spans="1:11" x14ac:dyDescent="0.35">
      <c r="A119" s="154">
        <v>45202</v>
      </c>
      <c r="B119" s="156">
        <v>171.00663386743</v>
      </c>
      <c r="C119" s="156">
        <v>248.61000061035099</v>
      </c>
      <c r="D119" s="156">
        <v>44.787239883965697</v>
      </c>
      <c r="E119" s="156">
        <v>80.258513839236102</v>
      </c>
      <c r="F119" s="156">
        <v>317.16766563300001</v>
      </c>
      <c r="G119" s="156">
        <v>133.30269057621101</v>
      </c>
      <c r="H119" s="156">
        <v>302.83278463914098</v>
      </c>
      <c r="I119" s="156">
        <v>128.05999755859301</v>
      </c>
      <c r="J119" s="156">
        <v>377.10998535156199</v>
      </c>
      <c r="K119" s="157">
        <v>137.27686711003199</v>
      </c>
    </row>
    <row r="120" spans="1:11" x14ac:dyDescent="0.35">
      <c r="A120" s="154">
        <v>45203</v>
      </c>
      <c r="B120" s="156">
        <v>169.84516093381399</v>
      </c>
      <c r="C120" s="156">
        <v>248.13999938964801</v>
      </c>
      <c r="D120" s="156">
        <v>43.721734294971803</v>
      </c>
      <c r="E120" s="156">
        <v>78.638535762033399</v>
      </c>
      <c r="F120" s="156">
        <v>310.44531445298003</v>
      </c>
      <c r="G120" s="156">
        <v>132.15815718510001</v>
      </c>
      <c r="H120" s="156">
        <v>297.32870228509898</v>
      </c>
      <c r="I120" s="156">
        <v>126.059997558593</v>
      </c>
      <c r="J120" s="156">
        <v>376.5</v>
      </c>
      <c r="K120" s="157">
        <v>137.26728406949499</v>
      </c>
    </row>
    <row r="121" spans="1:11" x14ac:dyDescent="0.35">
      <c r="A121" s="154">
        <v>45204</v>
      </c>
      <c r="B121" s="156">
        <v>172.52549843133599</v>
      </c>
      <c r="C121" s="156">
        <v>260</v>
      </c>
      <c r="D121" s="156">
        <v>44.0295886777159</v>
      </c>
      <c r="E121" s="156">
        <v>78.134750881541393</v>
      </c>
      <c r="F121" s="156">
        <v>315.44757046146202</v>
      </c>
      <c r="G121" s="156">
        <v>134.42730712890599</v>
      </c>
      <c r="H121" s="156">
        <v>303.20097641204597</v>
      </c>
      <c r="I121" s="156">
        <v>126.709999084472</v>
      </c>
      <c r="J121" s="156">
        <v>378.010009765625</v>
      </c>
      <c r="K121" s="157">
        <v>137.16957953011001</v>
      </c>
    </row>
    <row r="122" spans="1:11" x14ac:dyDescent="0.35">
      <c r="A122" s="154">
        <v>45205</v>
      </c>
      <c r="B122" s="156">
        <v>172.53545399514499</v>
      </c>
      <c r="C122" s="156">
        <v>253.97999572753901</v>
      </c>
      <c r="D122" s="156">
        <v>44.1725256428047</v>
      </c>
      <c r="E122" s="156">
        <v>80.060958660085305</v>
      </c>
      <c r="F122" s="156">
        <v>312.93649686639401</v>
      </c>
      <c r="G122" s="156">
        <v>133.37236359469699</v>
      </c>
      <c r="H122" s="156">
        <v>300.025953890913</v>
      </c>
      <c r="I122" s="156">
        <v>124.16000366210901</v>
      </c>
      <c r="J122" s="156">
        <v>368.42999267578102</v>
      </c>
      <c r="K122" s="157">
        <v>138.00977000346401</v>
      </c>
    </row>
    <row r="123" spans="1:11" x14ac:dyDescent="0.35">
      <c r="A123" s="154">
        <v>45208</v>
      </c>
      <c r="B123" s="156">
        <v>175.523551873271</v>
      </c>
      <c r="C123" s="156">
        <v>255.30999755859301</v>
      </c>
      <c r="D123" s="156">
        <v>44.8212255136796</v>
      </c>
      <c r="E123" s="156">
        <v>83.271299537837393</v>
      </c>
      <c r="F123" s="156">
        <v>321.04295146389398</v>
      </c>
      <c r="G123" s="156">
        <v>136.28841418957299</v>
      </c>
      <c r="H123" s="156">
        <v>311.034080647851</v>
      </c>
      <c r="I123" s="156">
        <v>126.220001220703</v>
      </c>
      <c r="J123" s="156">
        <v>378.04998779296801</v>
      </c>
      <c r="K123" s="157">
        <v>138.73402956427699</v>
      </c>
    </row>
    <row r="124" spans="1:11" x14ac:dyDescent="0.35">
      <c r="A124" s="154">
        <v>45209</v>
      </c>
      <c r="B124" s="156">
        <v>176.804172942821</v>
      </c>
      <c r="C124" s="156">
        <v>257.75</v>
      </c>
      <c r="D124" s="156">
        <v>45.289013881826598</v>
      </c>
      <c r="E124" s="156">
        <v>83.755316824942398</v>
      </c>
      <c r="F124" s="156">
        <v>327.18205878923698</v>
      </c>
      <c r="G124" s="156">
        <v>137.84098497994</v>
      </c>
      <c r="H124" s="156">
        <v>317.623019397603</v>
      </c>
      <c r="I124" s="156">
        <v>128.82000732421801</v>
      </c>
      <c r="J124" s="156">
        <v>385.579986572265</v>
      </c>
      <c r="K124" s="157">
        <v>140.43366761183901</v>
      </c>
    </row>
    <row r="125" spans="1:11" x14ac:dyDescent="0.35">
      <c r="A125" s="154">
        <v>45210</v>
      </c>
      <c r="B125" s="156">
        <v>176.90342620076899</v>
      </c>
      <c r="C125" s="156">
        <v>266.20001220703102</v>
      </c>
      <c r="D125" s="156">
        <v>46.174595222224397</v>
      </c>
      <c r="E125" s="156">
        <v>84.328241539464301</v>
      </c>
      <c r="F125" s="156">
        <v>327.42921771694699</v>
      </c>
      <c r="G125" s="156">
        <v>137.920628289257</v>
      </c>
      <c r="H125" s="156">
        <v>321.49479236655702</v>
      </c>
      <c r="I125" s="156">
        <v>129.74000549316401</v>
      </c>
      <c r="J125" s="156">
        <v>372.77999877929602</v>
      </c>
      <c r="K125" s="157">
        <v>141.48631316529</v>
      </c>
    </row>
    <row r="126" spans="1:11" x14ac:dyDescent="0.35">
      <c r="A126" s="154">
        <v>45211</v>
      </c>
      <c r="B126" s="156">
        <v>178.75984452937601</v>
      </c>
      <c r="C126" s="156">
        <v>262.92001342773398</v>
      </c>
      <c r="D126" s="156">
        <v>46.755326863887603</v>
      </c>
      <c r="E126" s="156">
        <v>83.7948322783149</v>
      </c>
      <c r="F126" s="156">
        <v>326.79649930420698</v>
      </c>
      <c r="G126" s="156">
        <v>140.37885098714301</v>
      </c>
      <c r="H126" s="156">
        <v>326.46138762906401</v>
      </c>
      <c r="I126" s="156">
        <v>132.169998168945</v>
      </c>
      <c r="J126" s="156">
        <v>366.48001098632801</v>
      </c>
      <c r="K126" s="157">
        <v>141.283521686093</v>
      </c>
    </row>
    <row r="127" spans="1:11" x14ac:dyDescent="0.35">
      <c r="A127" s="154">
        <v>45212</v>
      </c>
      <c r="B127" s="156">
        <v>180.100014516892</v>
      </c>
      <c r="C127" s="156">
        <v>258.89999389648398</v>
      </c>
      <c r="D127" s="156">
        <v>46.938239750925298</v>
      </c>
      <c r="E127" s="156">
        <v>82.915693436235003</v>
      </c>
      <c r="F127" s="156">
        <v>328.58583561463797</v>
      </c>
      <c r="G127" s="156">
        <v>138.71681368425999</v>
      </c>
      <c r="H127" s="156">
        <v>322.01236584993399</v>
      </c>
      <c r="I127" s="156">
        <v>132.97999572753901</v>
      </c>
      <c r="J127" s="156">
        <v>355.64001464843699</v>
      </c>
      <c r="K127" s="157">
        <v>143.40807213654301</v>
      </c>
    </row>
    <row r="128" spans="1:11" x14ac:dyDescent="0.35">
      <c r="A128" s="154">
        <v>45215</v>
      </c>
      <c r="B128" s="156">
        <v>175.46399467530401</v>
      </c>
      <c r="C128" s="156">
        <v>250.05000305175699</v>
      </c>
      <c r="D128" s="156">
        <v>45.042126880137701</v>
      </c>
      <c r="E128" s="156">
        <v>83.281167992352295</v>
      </c>
      <c r="F128" s="156">
        <v>327.270988596721</v>
      </c>
      <c r="G128" s="156">
        <v>137.51255809555201</v>
      </c>
      <c r="H128" s="156">
        <v>317.14528860458199</v>
      </c>
      <c r="I128" s="156">
        <v>130.69000244140599</v>
      </c>
      <c r="J128" s="156">
        <v>356.20999145507801</v>
      </c>
      <c r="K128" s="157">
        <v>144.325509040192</v>
      </c>
    </row>
    <row r="129" spans="1:11" x14ac:dyDescent="0.35">
      <c r="A129" s="154">
        <v>45216</v>
      </c>
      <c r="B129" s="156">
        <v>175.36470667425999</v>
      </c>
      <c r="C129" s="156">
        <v>250.100006103515</v>
      </c>
      <c r="D129" s="156">
        <v>43.979616052428099</v>
      </c>
      <c r="E129" s="156">
        <v>84.308483384326706</v>
      </c>
      <c r="F129" s="156">
        <v>325.82769481333997</v>
      </c>
      <c r="G129" s="156">
        <v>137.97038107958801</v>
      </c>
      <c r="H129" s="156">
        <v>316.687397111</v>
      </c>
      <c r="I129" s="156">
        <v>130.38999938964801</v>
      </c>
      <c r="J129" s="156">
        <v>361.100006103515</v>
      </c>
      <c r="K129" s="157">
        <v>142.509980686429</v>
      </c>
    </row>
    <row r="130" spans="1:11" x14ac:dyDescent="0.35">
      <c r="A130" s="154">
        <v>45217</v>
      </c>
      <c r="B130" s="156">
        <v>174.30247461631899</v>
      </c>
      <c r="C130" s="156">
        <v>252.69999694824199</v>
      </c>
      <c r="D130" s="156">
        <v>42.571270117895097</v>
      </c>
      <c r="E130" s="156">
        <v>84.644337045614293</v>
      </c>
      <c r="F130" s="156">
        <v>328.69460338708302</v>
      </c>
      <c r="G130" s="156">
        <v>138.786474259785</v>
      </c>
      <c r="H130" s="156">
        <v>319.88243426925698</v>
      </c>
      <c r="I130" s="156">
        <v>129.89999389648401</v>
      </c>
      <c r="J130" s="156">
        <v>351</v>
      </c>
      <c r="K130" s="157">
        <v>141.56356725426301</v>
      </c>
    </row>
    <row r="131" spans="1:11" x14ac:dyDescent="0.35">
      <c r="A131" s="154">
        <v>45218</v>
      </c>
      <c r="B131" s="156">
        <v>174.75914678442399</v>
      </c>
      <c r="C131" s="156">
        <v>225.94999694824199</v>
      </c>
      <c r="D131" s="156">
        <v>42.791167348563299</v>
      </c>
      <c r="E131" s="156">
        <v>84.219582237775199</v>
      </c>
      <c r="F131" s="156">
        <v>328.35844548463899</v>
      </c>
      <c r="G131" s="156">
        <v>137.840990069989</v>
      </c>
      <c r="H131" s="156">
        <v>318.37949431558201</v>
      </c>
      <c r="I131" s="156">
        <v>130.57000732421801</v>
      </c>
      <c r="J131" s="156">
        <v>404.739990234375</v>
      </c>
      <c r="K131" s="157">
        <v>140.49162342261701</v>
      </c>
    </row>
    <row r="132" spans="1:11" x14ac:dyDescent="0.35">
      <c r="A132" s="154">
        <v>45219</v>
      </c>
      <c r="B132" s="156">
        <v>174.034474362662</v>
      </c>
      <c r="C132" s="156">
        <v>217.009994506835</v>
      </c>
      <c r="D132" s="156">
        <v>41.870589844441199</v>
      </c>
      <c r="E132" s="156">
        <v>81.888382996547904</v>
      </c>
      <c r="F132" s="156">
        <v>327.93338167744298</v>
      </c>
      <c r="G132" s="156">
        <v>136.67655219400999</v>
      </c>
      <c r="H132" s="156">
        <v>312.66638500489</v>
      </c>
      <c r="I132" s="156">
        <v>128.05000305175699</v>
      </c>
      <c r="J132" s="156">
        <v>405.63000488281199</v>
      </c>
      <c r="K132" s="157">
        <v>139.61284747297299</v>
      </c>
    </row>
    <row r="133" spans="1:11" x14ac:dyDescent="0.35">
      <c r="A133" s="154">
        <v>45222</v>
      </c>
      <c r="B133" s="156">
        <v>169.66646713238299</v>
      </c>
      <c r="C133" s="156">
        <v>210</v>
      </c>
      <c r="D133" s="156">
        <v>41.209903709929399</v>
      </c>
      <c r="E133" s="156">
        <v>81.078387774002906</v>
      </c>
      <c r="F133" s="156">
        <v>321.75470290328701</v>
      </c>
      <c r="G133" s="156">
        <v>134.39744989145299</v>
      </c>
      <c r="H133" s="156">
        <v>308.04816409575602</v>
      </c>
      <c r="I133" s="156">
        <v>124.629997253417</v>
      </c>
      <c r="J133" s="156">
        <v>403.32000732421801</v>
      </c>
      <c r="K133" s="157">
        <v>138.03871893769801</v>
      </c>
    </row>
    <row r="134" spans="1:11" x14ac:dyDescent="0.35">
      <c r="A134" s="154">
        <v>45223</v>
      </c>
      <c r="B134" s="156">
        <v>171.79090827585301</v>
      </c>
      <c r="C134" s="156">
        <v>216.5</v>
      </c>
      <c r="D134" s="156">
        <v>43.057045584986398</v>
      </c>
      <c r="E134" s="156">
        <v>82.392161968207603</v>
      </c>
      <c r="F134" s="156">
        <v>327.51812691309402</v>
      </c>
      <c r="G134" s="156">
        <v>137.17417294722901</v>
      </c>
      <c r="H134" s="156">
        <v>315.29400000826399</v>
      </c>
      <c r="I134" s="156">
        <v>127.73999786376901</v>
      </c>
      <c r="J134" s="156">
        <v>409.67999267578102</v>
      </c>
      <c r="K134" s="157">
        <v>136.34874034330099</v>
      </c>
    </row>
    <row r="135" spans="1:11" x14ac:dyDescent="0.35">
      <c r="A135" s="154">
        <v>45224</v>
      </c>
      <c r="B135" s="156">
        <v>170.62944146712999</v>
      </c>
      <c r="C135" s="156">
        <v>215.88000488281199</v>
      </c>
      <c r="D135" s="156">
        <v>43.3778929703426</v>
      </c>
      <c r="E135" s="156">
        <v>81.127775872976898</v>
      </c>
      <c r="F135" s="156">
        <v>341.08157042022401</v>
      </c>
      <c r="G135" s="156">
        <v>127.550191066247</v>
      </c>
      <c r="H135" s="156">
        <v>308.54582664756202</v>
      </c>
      <c r="I135" s="156">
        <v>126.040000915527</v>
      </c>
      <c r="J135" s="156">
        <v>416.01998901367102</v>
      </c>
      <c r="K135" s="157">
        <v>135.74998398600701</v>
      </c>
    </row>
    <row r="136" spans="1:11" x14ac:dyDescent="0.35">
      <c r="A136" s="154">
        <v>45225</v>
      </c>
      <c r="B136" s="156">
        <v>169.130395753301</v>
      </c>
      <c r="C136" s="156">
        <v>211.32000732421801</v>
      </c>
      <c r="D136" s="156">
        <v>41.8336127023411</v>
      </c>
      <c r="E136" s="156">
        <v>79.102799686939406</v>
      </c>
      <c r="F136" s="156">
        <v>336.652686805207</v>
      </c>
      <c r="G136" s="156">
        <v>122.683453147905</v>
      </c>
      <c r="H136" s="156">
        <v>293.616205929035</v>
      </c>
      <c r="I136" s="156">
        <v>120.629997253417</v>
      </c>
      <c r="J136" s="156">
        <v>411.42001342773398</v>
      </c>
      <c r="K136" s="157">
        <v>134.967775854054</v>
      </c>
    </row>
    <row r="137" spans="1:11" x14ac:dyDescent="0.35">
      <c r="A137" s="154">
        <v>45226</v>
      </c>
      <c r="B137" s="156">
        <v>165.69556669674901</v>
      </c>
      <c r="C137" s="156">
        <v>210.600006103515</v>
      </c>
      <c r="D137" s="156">
        <v>41.110948553650097</v>
      </c>
      <c r="E137" s="156">
        <v>78.776826750908896</v>
      </c>
      <c r="F137" s="156">
        <v>326.65814494365901</v>
      </c>
      <c r="G137" s="156">
        <v>122.29531249468801</v>
      </c>
      <c r="H137" s="156">
        <v>293.098628304356</v>
      </c>
      <c r="I137" s="156">
        <v>126.199996948242</v>
      </c>
      <c r="J137" s="156">
        <v>406.42001342773398</v>
      </c>
      <c r="K137" s="157">
        <v>134.185535434321</v>
      </c>
    </row>
    <row r="138" spans="1:11" x14ac:dyDescent="0.35">
      <c r="A138" s="154">
        <v>45229</v>
      </c>
      <c r="B138" s="156">
        <v>167.790230918943</v>
      </c>
      <c r="C138" s="156">
        <v>209.27999877929599</v>
      </c>
      <c r="D138" s="156">
        <v>41.067966411552497</v>
      </c>
      <c r="E138" s="156">
        <v>78.7471883772279</v>
      </c>
      <c r="F138" s="156">
        <v>329.604089202159</v>
      </c>
      <c r="G138" s="156">
        <v>122.623745558027</v>
      </c>
      <c r="H138" s="156">
        <v>297.686973851456</v>
      </c>
      <c r="I138" s="156">
        <v>129.72000122070301</v>
      </c>
      <c r="J138" s="156">
        <v>402.350006103515</v>
      </c>
      <c r="K138" s="157">
        <v>131.761599980244</v>
      </c>
    </row>
    <row r="139" spans="1:11" x14ac:dyDescent="0.35">
      <c r="A139" s="154">
        <v>45230</v>
      </c>
      <c r="B139" s="156">
        <v>168.11784508599001</v>
      </c>
      <c r="C139" s="156">
        <v>196.11999511718699</v>
      </c>
      <c r="D139" s="156">
        <v>40.431263245944599</v>
      </c>
      <c r="E139" s="156">
        <v>79.705349006261301</v>
      </c>
      <c r="F139" s="156">
        <v>334.98197000539</v>
      </c>
      <c r="G139" s="156">
        <v>124.464941511254</v>
      </c>
      <c r="H139" s="156">
        <v>301.88718948172698</v>
      </c>
      <c r="I139" s="156">
        <v>132.75</v>
      </c>
      <c r="J139" s="156">
        <v>409.239990234375</v>
      </c>
      <c r="K139" s="157">
        <v>132.98804724457</v>
      </c>
    </row>
    <row r="140" spans="1:11" x14ac:dyDescent="0.35">
      <c r="A140" s="154">
        <v>45231</v>
      </c>
      <c r="B140" s="156">
        <v>169.75581666227799</v>
      </c>
      <c r="C140" s="156">
        <v>204.03999328613199</v>
      </c>
      <c r="D140" s="156">
        <v>40.865062572444501</v>
      </c>
      <c r="E140" s="156">
        <v>80.5350894580708</v>
      </c>
      <c r="F140" s="156">
        <v>335.91125619099103</v>
      </c>
      <c r="G140" s="156">
        <v>123.479647305123</v>
      </c>
      <c r="H140" s="156">
        <v>300.43405508952901</v>
      </c>
      <c r="I140" s="156">
        <v>133.96000671386699</v>
      </c>
      <c r="J140" s="156">
        <v>414.76998901367102</v>
      </c>
      <c r="K140" s="157">
        <v>134.47525611241099</v>
      </c>
    </row>
    <row r="141" spans="1:11" x14ac:dyDescent="0.35">
      <c r="A141" s="154">
        <v>45232</v>
      </c>
      <c r="B141" s="156">
        <v>174.24294290683699</v>
      </c>
      <c r="C141" s="156">
        <v>212.97000122070301</v>
      </c>
      <c r="D141" s="156">
        <v>43.307920925768997</v>
      </c>
      <c r="E141" s="156">
        <v>80.8511978804476</v>
      </c>
      <c r="F141" s="156">
        <v>343.27621399189098</v>
      </c>
      <c r="G141" s="156">
        <v>127.80895226837799</v>
      </c>
      <c r="H141" s="156">
        <v>315.81157355488398</v>
      </c>
      <c r="I141" s="156">
        <v>138.72999572753901</v>
      </c>
      <c r="J141" s="156">
        <v>421.17001342773398</v>
      </c>
      <c r="K141" s="157">
        <v>135.286434056232</v>
      </c>
    </row>
    <row r="142" spans="1:11" x14ac:dyDescent="0.35">
      <c r="A142" s="154">
        <v>45233</v>
      </c>
      <c r="B142" s="156">
        <v>172.972246829021</v>
      </c>
      <c r="C142" s="156">
        <v>221.14999389648401</v>
      </c>
      <c r="D142" s="156">
        <v>43.999605680258099</v>
      </c>
      <c r="E142" s="156">
        <v>83.1428871552136</v>
      </c>
      <c r="F142" s="156">
        <v>345.63893840289899</v>
      </c>
      <c r="G142" s="156">
        <v>127.410869977394</v>
      </c>
      <c r="H142" s="156">
        <v>311.083835258269</v>
      </c>
      <c r="I142" s="156">
        <v>138.99000549316401</v>
      </c>
      <c r="J142" s="156">
        <v>428.760009765625</v>
      </c>
      <c r="K142" s="157">
        <v>137.31442575259501</v>
      </c>
    </row>
    <row r="143" spans="1:11" x14ac:dyDescent="0.35">
      <c r="A143" s="154">
        <v>45236</v>
      </c>
      <c r="B143" s="156">
        <v>175.09666426298301</v>
      </c>
      <c r="C143" s="156">
        <v>223.97999572753901</v>
      </c>
      <c r="D143" s="156">
        <v>45.264021266852701</v>
      </c>
      <c r="E143" s="156">
        <v>84.041790653903504</v>
      </c>
      <c r="F143" s="156">
        <v>349.41537658510703</v>
      </c>
      <c r="G143" s="156">
        <v>128.435946740329</v>
      </c>
      <c r="H143" s="156">
        <v>314.49778223926103</v>
      </c>
      <c r="I143" s="156">
        <v>138.759994506835</v>
      </c>
      <c r="J143" s="156">
        <v>434.38000488281199</v>
      </c>
      <c r="K143" s="157">
        <v>138.26083269198099</v>
      </c>
    </row>
    <row r="144" spans="1:11" x14ac:dyDescent="0.35">
      <c r="A144" s="154">
        <v>45237</v>
      </c>
      <c r="B144" s="156">
        <v>177.87629469765801</v>
      </c>
      <c r="C144" s="156">
        <v>219.97999572753901</v>
      </c>
      <c r="D144" s="156">
        <v>45.697821277621102</v>
      </c>
      <c r="E144" s="156">
        <v>83.133001400485796</v>
      </c>
      <c r="F144" s="156">
        <v>355.29738405424598</v>
      </c>
      <c r="G144" s="156">
        <v>130.08805962107499</v>
      </c>
      <c r="H144" s="156">
        <v>315.572709108776</v>
      </c>
      <c r="I144" s="156">
        <v>140.55000305175699</v>
      </c>
      <c r="J144" s="156">
        <v>436.17999267578102</v>
      </c>
      <c r="K144" s="157">
        <v>138.58918123990699</v>
      </c>
    </row>
    <row r="145" spans="1:11" x14ac:dyDescent="0.35">
      <c r="A145" s="154">
        <v>45238</v>
      </c>
      <c r="B145" s="156">
        <v>181.02324656153499</v>
      </c>
      <c r="C145" s="156">
        <v>223.14999389648401</v>
      </c>
      <c r="D145" s="156">
        <v>46.078638357636699</v>
      </c>
      <c r="E145" s="156">
        <v>83.113249244689101</v>
      </c>
      <c r="F145" s="156">
        <v>357.55137827923397</v>
      </c>
      <c r="G145" s="156">
        <v>130.34680632598699</v>
      </c>
      <c r="H145" s="156">
        <v>316.64764664068201</v>
      </c>
      <c r="I145" s="156">
        <v>142.97000122070301</v>
      </c>
      <c r="J145" s="156">
        <v>435</v>
      </c>
      <c r="K145" s="157">
        <v>139.168621352847</v>
      </c>
    </row>
    <row r="146" spans="1:11" x14ac:dyDescent="0.35">
      <c r="A146" s="154">
        <v>45239</v>
      </c>
      <c r="B146" s="156">
        <v>181.628810741032</v>
      </c>
      <c r="C146" s="156">
        <v>219.75</v>
      </c>
      <c r="D146" s="156">
        <v>47.445008130691399</v>
      </c>
      <c r="E146" s="156">
        <v>86.768094209088105</v>
      </c>
      <c r="F146" s="156">
        <v>358.16426943791203</v>
      </c>
      <c r="G146" s="156">
        <v>131.33211744076101</v>
      </c>
      <c r="H146" s="156">
        <v>317.92165189456301</v>
      </c>
      <c r="I146" s="156">
        <v>142.02000427246</v>
      </c>
      <c r="J146" s="156">
        <v>438.02999877929602</v>
      </c>
      <c r="K146" s="157">
        <v>140.452998887267</v>
      </c>
    </row>
    <row r="147" spans="1:11" x14ac:dyDescent="0.35">
      <c r="A147" s="154">
        <v>45240</v>
      </c>
      <c r="B147" s="156">
        <v>182.87206148972899</v>
      </c>
      <c r="C147" s="156">
        <v>210.02999877929599</v>
      </c>
      <c r="D147" s="156">
        <v>47.477994559113803</v>
      </c>
      <c r="E147" s="156">
        <v>89.030143656014005</v>
      </c>
      <c r="F147" s="156">
        <v>357.36354785642101</v>
      </c>
      <c r="G147" s="156">
        <v>129.48096408570001</v>
      </c>
      <c r="H147" s="156">
        <v>318.43918694402498</v>
      </c>
      <c r="I147" s="156">
        <v>140.46000671386699</v>
      </c>
      <c r="J147" s="156">
        <v>437.48001098632801</v>
      </c>
      <c r="K147" s="157">
        <v>139.970142524312</v>
      </c>
    </row>
    <row r="148" spans="1:11" x14ac:dyDescent="0.35">
      <c r="A148" s="154">
        <v>45243</v>
      </c>
      <c r="B148" s="156">
        <v>184.71102990422099</v>
      </c>
      <c r="C148" s="156">
        <v>215.600006103515</v>
      </c>
      <c r="D148" s="156">
        <v>48.297612897992401</v>
      </c>
      <c r="E148" s="156">
        <v>87.341022094563897</v>
      </c>
      <c r="F148" s="156">
        <v>364.01672236142298</v>
      </c>
      <c r="G148" s="156">
        <v>131.15296428561601</v>
      </c>
      <c r="H148" s="156">
        <v>324.66981818668398</v>
      </c>
      <c r="I148" s="156">
        <v>142.08000183105401</v>
      </c>
      <c r="J148" s="156">
        <v>447.25</v>
      </c>
      <c r="K148" s="157">
        <v>140.704067657807</v>
      </c>
    </row>
    <row r="149" spans="1:11" x14ac:dyDescent="0.35">
      <c r="A149" s="154">
        <v>45244</v>
      </c>
      <c r="B149" s="156">
        <v>186.57977766288201</v>
      </c>
      <c r="C149" s="156">
        <v>235.02999877929599</v>
      </c>
      <c r="D149" s="156">
        <v>49.656982745411298</v>
      </c>
      <c r="E149" s="156">
        <v>88.931376880497396</v>
      </c>
      <c r="F149" s="156">
        <v>366.774877753211</v>
      </c>
      <c r="G149" s="156">
        <v>133.551486956312</v>
      </c>
      <c r="H149" s="156">
        <v>332.97070523591498</v>
      </c>
      <c r="I149" s="156">
        <v>145</v>
      </c>
      <c r="J149" s="156">
        <v>448.77999877929602</v>
      </c>
      <c r="K149" s="157">
        <v>141.65048263905999</v>
      </c>
    </row>
    <row r="150" spans="1:11" x14ac:dyDescent="0.35">
      <c r="A150" s="154">
        <v>45245</v>
      </c>
      <c r="B150" s="156">
        <v>186.72890587030199</v>
      </c>
      <c r="C150" s="156">
        <v>239.28999328613199</v>
      </c>
      <c r="D150" s="156">
        <v>49.911864585546098</v>
      </c>
      <c r="E150" s="156">
        <v>91.855251262817106</v>
      </c>
      <c r="F150" s="156">
        <v>367.78676264390998</v>
      </c>
      <c r="G150" s="156">
        <v>134.22825686141999</v>
      </c>
      <c r="H150" s="156">
        <v>336.34474487072703</v>
      </c>
      <c r="I150" s="156">
        <v>147.05999755859301</v>
      </c>
      <c r="J150" s="156">
        <v>452.80999755859301</v>
      </c>
      <c r="K150" s="157">
        <v>143.36945148827601</v>
      </c>
    </row>
    <row r="151" spans="1:11" x14ac:dyDescent="0.35">
      <c r="A151" s="154">
        <v>45246</v>
      </c>
      <c r="B151" s="156">
        <v>188.43864070160501</v>
      </c>
      <c r="C151" s="156">
        <v>239.49000549316401</v>
      </c>
      <c r="D151" s="156">
        <v>48.656453168876702</v>
      </c>
      <c r="E151" s="156">
        <v>92.744267805502801</v>
      </c>
      <c r="F151" s="156">
        <v>367.46976503432001</v>
      </c>
      <c r="G151" s="156">
        <v>134.546746561958</v>
      </c>
      <c r="H151" s="156">
        <v>327.824917822016</v>
      </c>
      <c r="I151" s="156">
        <v>140.91000366210901</v>
      </c>
      <c r="J151" s="156">
        <v>463</v>
      </c>
      <c r="K151" s="157">
        <v>144.94354482364699</v>
      </c>
    </row>
    <row r="152" spans="1:11" x14ac:dyDescent="0.35">
      <c r="A152" s="154">
        <v>45247</v>
      </c>
      <c r="B152" s="156">
        <v>189.11457782649899</v>
      </c>
      <c r="C152" s="156">
        <v>232</v>
      </c>
      <c r="D152" s="156">
        <v>49.501058800683602</v>
      </c>
      <c r="E152" s="156">
        <v>93.593775386576894</v>
      </c>
      <c r="F152" s="156">
        <v>370.094842404975</v>
      </c>
      <c r="G152" s="156">
        <v>135.35287216176999</v>
      </c>
      <c r="H152" s="156">
        <v>328.71080730030599</v>
      </c>
      <c r="I152" s="156">
        <v>142.66000366210901</v>
      </c>
      <c r="J152" s="156">
        <v>466.95001220703102</v>
      </c>
      <c r="K152" s="157">
        <v>146.98120523899101</v>
      </c>
    </row>
    <row r="153" spans="1:11" x14ac:dyDescent="0.35">
      <c r="A153" s="154">
        <v>45250</v>
      </c>
      <c r="B153" s="156">
        <v>188.75671623264199</v>
      </c>
      <c r="C153" s="156">
        <v>234.03999328613199</v>
      </c>
      <c r="D153" s="156">
        <v>49.289154918281</v>
      </c>
      <c r="E153" s="156">
        <v>92.833171304272</v>
      </c>
      <c r="F153" s="156">
        <v>367.72734467928501</v>
      </c>
      <c r="G153" s="156">
        <v>133.053898136946</v>
      </c>
      <c r="H153" s="156">
        <v>333.31908715486298</v>
      </c>
      <c r="I153" s="156">
        <v>145.13000488281199</v>
      </c>
      <c r="J153" s="156">
        <v>465.39999389648398</v>
      </c>
      <c r="K153" s="157">
        <v>146.86531157027699</v>
      </c>
    </row>
    <row r="154" spans="1:11" x14ac:dyDescent="0.35">
      <c r="A154" s="154">
        <v>45251</v>
      </c>
      <c r="B154" s="156">
        <v>190.26765186097199</v>
      </c>
      <c r="C154" s="156">
        <v>235.03999328613199</v>
      </c>
      <c r="D154" s="156">
        <v>50.102779002162698</v>
      </c>
      <c r="E154" s="156">
        <v>93.574021460923603</v>
      </c>
      <c r="F154" s="156">
        <v>372.13544944909</v>
      </c>
      <c r="G154" s="156">
        <v>135.64149551504499</v>
      </c>
      <c r="H154" s="156">
        <v>336.74290442009698</v>
      </c>
      <c r="I154" s="156">
        <v>143.91000366210901</v>
      </c>
      <c r="J154" s="156">
        <v>472.63000488281199</v>
      </c>
      <c r="K154" s="157">
        <v>147.94691713561201</v>
      </c>
    </row>
    <row r="155" spans="1:11" x14ac:dyDescent="0.35">
      <c r="A155" s="154">
        <v>45252</v>
      </c>
      <c r="B155" s="156">
        <v>190.347161767138</v>
      </c>
      <c r="C155" s="156">
        <v>242.03999328613199</v>
      </c>
      <c r="D155" s="156">
        <v>49.828903283324699</v>
      </c>
      <c r="E155" s="156">
        <v>93.751822722044295</v>
      </c>
      <c r="F155" s="156">
        <v>374.44350452117999</v>
      </c>
      <c r="G155" s="156">
        <v>136.815888562087</v>
      </c>
      <c r="H155" s="156">
        <v>337.618788526674</v>
      </c>
      <c r="I155" s="156">
        <v>144.57000732421801</v>
      </c>
      <c r="J155" s="156">
        <v>476.79998779296801</v>
      </c>
      <c r="K155" s="157">
        <v>148.14973790145501</v>
      </c>
    </row>
    <row r="156" spans="1:11" x14ac:dyDescent="0.35">
      <c r="A156" s="154">
        <v>45254</v>
      </c>
      <c r="B156" s="156">
        <v>189.730865325416</v>
      </c>
      <c r="C156" s="156">
        <v>233.75</v>
      </c>
      <c r="D156" s="156">
        <v>48.447542972132297</v>
      </c>
      <c r="E156" s="156">
        <v>93.741946149908202</v>
      </c>
      <c r="F156" s="156">
        <v>373.77981055404598</v>
      </c>
      <c r="G156" s="156">
        <v>137.373232259643</v>
      </c>
      <c r="H156" s="156">
        <v>338.53451397155601</v>
      </c>
      <c r="I156" s="156">
        <v>146.69999694824199</v>
      </c>
      <c r="J156" s="156">
        <v>477.10998535156199</v>
      </c>
      <c r="K156" s="157">
        <v>148.32354179068199</v>
      </c>
    </row>
    <row r="157" spans="1:11" x14ac:dyDescent="0.35">
      <c r="A157" s="154">
        <v>45257</v>
      </c>
      <c r="B157" s="156">
        <v>188.78654712309</v>
      </c>
      <c r="C157" s="156">
        <v>236.88999938964801</v>
      </c>
      <c r="D157" s="156">
        <v>47.7778537031013</v>
      </c>
      <c r="E157" s="156">
        <v>94.5716958001194</v>
      </c>
      <c r="F157" s="156">
        <v>373.23502159050298</v>
      </c>
      <c r="G157" s="156">
        <v>135.382759016189</v>
      </c>
      <c r="H157" s="156">
        <v>334.60301242210397</v>
      </c>
      <c r="I157" s="156">
        <v>147.52999877929599</v>
      </c>
      <c r="J157" s="156">
        <v>479.02999877929602</v>
      </c>
      <c r="K157" s="157">
        <v>148.16904761113599</v>
      </c>
    </row>
    <row r="158" spans="1:11" x14ac:dyDescent="0.35">
      <c r="A158" s="154">
        <v>45258</v>
      </c>
      <c r="B158" s="156">
        <v>188.647376937053</v>
      </c>
      <c r="C158" s="156">
        <v>236.67999267578099</v>
      </c>
      <c r="D158" s="156">
        <v>48.213652026851101</v>
      </c>
      <c r="E158" s="156">
        <v>93.840723810969095</v>
      </c>
      <c r="F158" s="156">
        <v>374.79025615067201</v>
      </c>
      <c r="G158" s="156">
        <v>135.43249901776099</v>
      </c>
      <c r="H158" s="156">
        <v>331.83603675325401</v>
      </c>
      <c r="I158" s="156">
        <v>146.97999572753901</v>
      </c>
      <c r="J158" s="156">
        <v>478.10998535156199</v>
      </c>
      <c r="K158" s="157">
        <v>147.96623345332301</v>
      </c>
    </row>
    <row r="159" spans="1:11" x14ac:dyDescent="0.35">
      <c r="A159" s="154">
        <v>45259</v>
      </c>
      <c r="B159" s="156">
        <v>189.76069003248699</v>
      </c>
      <c r="C159" s="156">
        <v>249.21000671386699</v>
      </c>
      <c r="D159" s="156">
        <v>48.3565940137387</v>
      </c>
      <c r="E159" s="156">
        <v>91.470009281117498</v>
      </c>
      <c r="F159" s="156">
        <v>380.14932940282301</v>
      </c>
      <c r="G159" s="156">
        <v>136.91541225652799</v>
      </c>
      <c r="H159" s="156">
        <v>338.09654850809602</v>
      </c>
      <c r="I159" s="156">
        <v>147.850006103515</v>
      </c>
      <c r="J159" s="156">
        <v>479</v>
      </c>
      <c r="K159" s="157">
        <v>148.88366843900499</v>
      </c>
    </row>
    <row r="160" spans="1:11" x14ac:dyDescent="0.35">
      <c r="A160" s="154">
        <v>45260</v>
      </c>
      <c r="B160" s="156">
        <v>188.70703160549999</v>
      </c>
      <c r="C160" s="156">
        <v>245.13999938964801</v>
      </c>
      <c r="D160" s="156">
        <v>48.001749831287903</v>
      </c>
      <c r="E160" s="156">
        <v>92.408420280242595</v>
      </c>
      <c r="F160" s="156">
        <v>374.92890903622703</v>
      </c>
      <c r="G160" s="156">
        <v>134.40741247293201</v>
      </c>
      <c r="H160" s="156">
        <v>330.33314209562701</v>
      </c>
      <c r="I160" s="156">
        <v>144.759994506835</v>
      </c>
      <c r="J160" s="156">
        <v>475.30999755859301</v>
      </c>
      <c r="K160" s="157">
        <v>149.59828464589799</v>
      </c>
    </row>
    <row r="161" spans="1:11" x14ac:dyDescent="0.35">
      <c r="A161" s="154">
        <v>45261</v>
      </c>
      <c r="B161" s="156">
        <v>189.19409067360701</v>
      </c>
      <c r="C161" s="156">
        <v>233.13999938964801</v>
      </c>
      <c r="D161" s="156">
        <v>46.5034490379877</v>
      </c>
      <c r="E161" s="156">
        <v>91.608307605671001</v>
      </c>
      <c r="F161" s="156">
        <v>373.21521977574503</v>
      </c>
      <c r="G161" s="156">
        <v>131.23260498046801</v>
      </c>
      <c r="H161" s="156">
        <v>323.953263947702</v>
      </c>
      <c r="I161" s="156">
        <v>146</v>
      </c>
      <c r="J161" s="156">
        <v>473.17001342773398</v>
      </c>
      <c r="K161" s="157">
        <v>150.477097798665</v>
      </c>
    </row>
    <row r="162" spans="1:11" x14ac:dyDescent="0.35">
      <c r="A162" s="154">
        <v>45264</v>
      </c>
      <c r="B162" s="156">
        <v>188.846189611759</v>
      </c>
      <c r="C162" s="156">
        <v>235.75</v>
      </c>
      <c r="D162" s="156">
        <v>46.055649290414799</v>
      </c>
      <c r="E162" s="156">
        <v>90.778556375091796</v>
      </c>
      <c r="F162" s="156">
        <v>365.62723800249103</v>
      </c>
      <c r="G162" s="156">
        <v>129.262020641513</v>
      </c>
      <c r="H162" s="156">
        <v>315.80162449657598</v>
      </c>
      <c r="I162" s="156">
        <v>145.25</v>
      </c>
      <c r="J162" s="156">
        <v>460.989990234375</v>
      </c>
      <c r="K162" s="157">
        <v>150.670240938999</v>
      </c>
    </row>
    <row r="163" spans="1:11" x14ac:dyDescent="0.35">
      <c r="A163" s="154">
        <v>45265</v>
      </c>
      <c r="B163" s="156">
        <v>189.074806486798</v>
      </c>
      <c r="C163" s="156">
        <v>233.86999511718699</v>
      </c>
      <c r="D163" s="156">
        <v>45.448926106398503</v>
      </c>
      <c r="E163" s="156">
        <v>90.492099396460901</v>
      </c>
      <c r="F163" s="156">
        <v>363.00220921532502</v>
      </c>
      <c r="G163" s="156">
        <v>128.336427946246</v>
      </c>
      <c r="H163" s="156">
        <v>317.48370173130098</v>
      </c>
      <c r="I163" s="156">
        <v>143.55000305175699</v>
      </c>
      <c r="J163" s="156">
        <v>450.70001220703102</v>
      </c>
      <c r="K163" s="157">
        <v>151.86771391724599</v>
      </c>
    </row>
    <row r="164" spans="1:11" x14ac:dyDescent="0.35">
      <c r="A164" s="154">
        <v>45266</v>
      </c>
      <c r="B164" s="156">
        <v>193.28950362567201</v>
      </c>
      <c r="C164" s="156">
        <v>242.919998168945</v>
      </c>
      <c r="D164" s="156">
        <v>47.197271279908101</v>
      </c>
      <c r="E164" s="156">
        <v>89.998190232630193</v>
      </c>
      <c r="F164" s="156">
        <v>370.02550168503802</v>
      </c>
      <c r="G164" s="156">
        <v>130.81459355892</v>
      </c>
      <c r="H164" s="156">
        <v>320.41984165942802</v>
      </c>
      <c r="I164" s="156">
        <v>147.58000183105401</v>
      </c>
      <c r="J164" s="156">
        <v>460</v>
      </c>
      <c r="K164" s="157">
        <v>153.39353456191699</v>
      </c>
    </row>
    <row r="165" spans="1:11" x14ac:dyDescent="0.35">
      <c r="A165" s="154">
        <v>45267</v>
      </c>
      <c r="B165" s="156">
        <v>192.47440063838999</v>
      </c>
      <c r="C165" s="156">
        <v>241.55000305175699</v>
      </c>
      <c r="D165" s="156">
        <v>45.682850442002703</v>
      </c>
      <c r="E165" s="156">
        <v>90.679784309059499</v>
      </c>
      <c r="F165" s="156">
        <v>364.76542943899602</v>
      </c>
      <c r="G165" s="156">
        <v>134.397451174488</v>
      </c>
      <c r="H165" s="156">
        <v>316.27932047523399</v>
      </c>
      <c r="I165" s="156">
        <v>146.14999389648401</v>
      </c>
      <c r="J165" s="156">
        <v>450.850006103515</v>
      </c>
      <c r="K165" s="157">
        <v>151.31725610253801</v>
      </c>
    </row>
    <row r="166" spans="1:11" x14ac:dyDescent="0.35">
      <c r="A166" s="154">
        <v>45268</v>
      </c>
      <c r="B166" s="156">
        <v>193.04097915185301</v>
      </c>
      <c r="C166" s="156">
        <v>240.27000427246</v>
      </c>
      <c r="D166" s="156">
        <v>46.577509499300497</v>
      </c>
      <c r="E166" s="156">
        <v>91.232970413322406</v>
      </c>
      <c r="F166" s="156">
        <v>365.726311462247</v>
      </c>
      <c r="G166" s="156">
        <v>133.561437295632</v>
      </c>
      <c r="H166" s="156">
        <v>321.57439783084499</v>
      </c>
      <c r="I166" s="156">
        <v>145.47999572753901</v>
      </c>
      <c r="J166" s="156">
        <v>450.760009765625</v>
      </c>
      <c r="K166" s="157">
        <v>151.867682814484</v>
      </c>
    </row>
    <row r="167" spans="1:11" x14ac:dyDescent="0.35">
      <c r="A167" s="154">
        <v>45271</v>
      </c>
      <c r="B167" s="156">
        <v>191.957510001472</v>
      </c>
      <c r="C167" s="156">
        <v>242.74000549316401</v>
      </c>
      <c r="D167" s="156">
        <v>47.473174987687997</v>
      </c>
      <c r="E167" s="156">
        <v>91.896956789454094</v>
      </c>
      <c r="F167" s="156">
        <v>365.01310449425802</v>
      </c>
      <c r="G167" s="156">
        <v>131.75011845279201</v>
      </c>
      <c r="H167" s="156">
        <v>327.85478821432798</v>
      </c>
      <c r="I167" s="156">
        <v>145.66000366210901</v>
      </c>
      <c r="J167" s="156">
        <v>459.35998535156199</v>
      </c>
      <c r="K167" s="157">
        <v>153.084493462936</v>
      </c>
    </row>
    <row r="168" spans="1:11" x14ac:dyDescent="0.35">
      <c r="A168" s="154">
        <v>45272</v>
      </c>
      <c r="B168" s="156">
        <v>191.92769665062499</v>
      </c>
      <c r="C168" s="156">
        <v>238.55000305175699</v>
      </c>
      <c r="D168" s="156">
        <v>46.028715290198598</v>
      </c>
      <c r="E168" s="156">
        <v>91.292439514673703</v>
      </c>
      <c r="F168" s="156">
        <v>367.36081862489402</v>
      </c>
      <c r="G168" s="156">
        <v>131.182821700006</v>
      </c>
      <c r="H168" s="156">
        <v>323.07735262160497</v>
      </c>
      <c r="I168" s="156">
        <v>145.52000427246</v>
      </c>
      <c r="J168" s="156">
        <v>465.23001098632801</v>
      </c>
      <c r="K168" s="157">
        <v>153.770169899514</v>
      </c>
    </row>
    <row r="169" spans="1:11" x14ac:dyDescent="0.35">
      <c r="A169" s="154">
        <v>45273</v>
      </c>
      <c r="B169" s="156">
        <v>193.92568254467699</v>
      </c>
      <c r="C169" s="156">
        <v>234.19000244140599</v>
      </c>
      <c r="D169" s="156">
        <v>47.611126546332201</v>
      </c>
      <c r="E169" s="156">
        <v>90.350972218167698</v>
      </c>
      <c r="F169" s="156">
        <v>372.482125831747</v>
      </c>
      <c r="G169" s="156">
        <v>132.74535238978899</v>
      </c>
      <c r="H169" s="156">
        <v>332.36360176348501</v>
      </c>
      <c r="I169" s="156">
        <v>148.11999511718699</v>
      </c>
      <c r="J169" s="156">
        <v>461.98001098632801</v>
      </c>
      <c r="K169" s="157">
        <v>155.01592187591501</v>
      </c>
    </row>
    <row r="170" spans="1:11" x14ac:dyDescent="0.35">
      <c r="A170" s="154">
        <v>45274</v>
      </c>
      <c r="B170" s="156">
        <v>196.838198851323</v>
      </c>
      <c r="C170" s="156">
        <v>241.22000122070301</v>
      </c>
      <c r="D170" s="156">
        <v>48.371830226076597</v>
      </c>
      <c r="E170" s="156">
        <v>92.372639283833394</v>
      </c>
      <c r="F170" s="156">
        <v>369.79762904450098</v>
      </c>
      <c r="G170" s="156">
        <v>132.745360754578</v>
      </c>
      <c r="H170" s="156">
        <v>332.28391953712202</v>
      </c>
      <c r="I170" s="156">
        <v>149.92999267578099</v>
      </c>
      <c r="J170" s="156">
        <v>480.35998535156199</v>
      </c>
      <c r="K170" s="157">
        <v>156.281004179212</v>
      </c>
    </row>
    <row r="171" spans="1:11" x14ac:dyDescent="0.35">
      <c r="A171" s="154">
        <v>45275</v>
      </c>
      <c r="B171" s="156">
        <v>196.35112988627401</v>
      </c>
      <c r="C171" s="156">
        <v>251.21000671386699</v>
      </c>
      <c r="D171" s="156">
        <v>48.175905241934402</v>
      </c>
      <c r="E171" s="156">
        <v>92.214079053308197</v>
      </c>
      <c r="F171" s="156">
        <v>363.39844407099201</v>
      </c>
      <c r="G171" s="156">
        <v>130.99372252410001</v>
      </c>
      <c r="H171" s="156">
        <v>330.43265923326999</v>
      </c>
      <c r="I171" s="156">
        <v>148.38000488281199</v>
      </c>
      <c r="J171" s="156">
        <v>467.29998779296801</v>
      </c>
      <c r="K171" s="157">
        <v>157.48816493527099</v>
      </c>
    </row>
    <row r="172" spans="1:11" x14ac:dyDescent="0.35">
      <c r="A172" s="154">
        <v>45278</v>
      </c>
      <c r="B172" s="156">
        <v>194.919704828775</v>
      </c>
      <c r="C172" s="156">
        <v>253.77999877929599</v>
      </c>
      <c r="D172" s="156">
        <v>49.381460604932499</v>
      </c>
      <c r="E172" s="156">
        <v>91.867221093680598</v>
      </c>
      <c r="F172" s="156">
        <v>365.97398568728698</v>
      </c>
      <c r="G172" s="156">
        <v>131.99890953361</v>
      </c>
      <c r="H172" s="156">
        <v>335.89692677315099</v>
      </c>
      <c r="I172" s="156">
        <v>150.55999755859301</v>
      </c>
      <c r="J172" s="156">
        <v>476.29998779296801</v>
      </c>
      <c r="K172" s="157">
        <v>160.230768054777</v>
      </c>
    </row>
    <row r="173" spans="1:11" x14ac:dyDescent="0.35">
      <c r="A173" s="154">
        <v>45279</v>
      </c>
      <c r="B173" s="156">
        <v>194.989304754562</v>
      </c>
      <c r="C173" s="156">
        <v>253.47999572753901</v>
      </c>
      <c r="D173" s="156">
        <v>49.405444013736002</v>
      </c>
      <c r="E173" s="156">
        <v>91.807761903200102</v>
      </c>
      <c r="F173" s="156">
        <v>367.99480275671903</v>
      </c>
      <c r="G173" s="156">
        <v>136.18888474941201</v>
      </c>
      <c r="H173" s="156">
        <v>343.95891527972401</v>
      </c>
      <c r="I173" s="156">
        <v>154.39999389648401</v>
      </c>
      <c r="J173" s="156">
        <v>488.39999389648398</v>
      </c>
      <c r="K173" s="157">
        <v>160.30800724559199</v>
      </c>
    </row>
    <row r="174" spans="1:11" x14ac:dyDescent="0.35">
      <c r="A174" s="154">
        <v>45280</v>
      </c>
      <c r="B174" s="156">
        <v>195.724889888771</v>
      </c>
      <c r="C174" s="156">
        <v>256.41000366210898</v>
      </c>
      <c r="D174" s="156">
        <v>49.636356515357903</v>
      </c>
      <c r="E174" s="156">
        <v>92.402376970176405</v>
      </c>
      <c r="F174" s="156">
        <v>371.47176008252598</v>
      </c>
      <c r="G174" s="156">
        <v>138.30875463223899</v>
      </c>
      <c r="H174" s="156">
        <v>347.01452143431601</v>
      </c>
      <c r="I174" s="156">
        <v>152.89999389648401</v>
      </c>
      <c r="J174" s="156">
        <v>492</v>
      </c>
      <c r="K174" s="157">
        <v>162.22978319071399</v>
      </c>
    </row>
    <row r="175" spans="1:11" x14ac:dyDescent="0.35">
      <c r="A175" s="154">
        <v>45281</v>
      </c>
      <c r="B175" s="156">
        <v>194.929650749226</v>
      </c>
      <c r="C175" s="156">
        <v>251.89999389648401</v>
      </c>
      <c r="D175" s="156">
        <v>48.792677364679498</v>
      </c>
      <c r="E175" s="156">
        <v>91.104141007643307</v>
      </c>
      <c r="F175" s="156">
        <v>369.05469182205502</v>
      </c>
      <c r="G175" s="156">
        <v>138.826278764742</v>
      </c>
      <c r="H175" s="156">
        <v>351.32420710570602</v>
      </c>
      <c r="I175" s="156">
        <v>153.30000305175699</v>
      </c>
      <c r="J175" s="156">
        <v>492.66000366210898</v>
      </c>
      <c r="K175" s="157">
        <v>161.119219003106</v>
      </c>
    </row>
    <row r="176" spans="1:11" x14ac:dyDescent="0.35">
      <c r="A176" s="154">
        <v>45282</v>
      </c>
      <c r="B176" s="156">
        <v>194.01513711760199</v>
      </c>
      <c r="C176" s="156">
        <v>256.760009765625</v>
      </c>
      <c r="D176" s="156">
        <v>49.176533062952998</v>
      </c>
      <c r="E176" s="156">
        <v>90.796932218236293</v>
      </c>
      <c r="F176" s="156">
        <v>370.16416841117098</v>
      </c>
      <c r="G176" s="156">
        <v>140.10018194492301</v>
      </c>
      <c r="H176" s="156">
        <v>353.91199880394203</v>
      </c>
      <c r="I176" s="156">
        <v>153.77000427246</v>
      </c>
      <c r="J176" s="156">
        <v>494</v>
      </c>
      <c r="K176" s="157">
        <v>161.756611185075</v>
      </c>
    </row>
    <row r="177" spans="1:11" x14ac:dyDescent="0.35">
      <c r="A177" s="154">
        <v>45286</v>
      </c>
      <c r="B177" s="156">
        <v>192.454513092555</v>
      </c>
      <c r="C177" s="156">
        <v>254.49000549316401</v>
      </c>
      <c r="D177" s="156">
        <v>48.949613984887101</v>
      </c>
      <c r="E177" s="156">
        <v>90.023929786431196</v>
      </c>
      <c r="F177" s="156">
        <v>371.47174615265999</v>
      </c>
      <c r="G177" s="156">
        <v>140.91629294532299</v>
      </c>
      <c r="H177" s="156">
        <v>353.32474991909299</v>
      </c>
      <c r="I177" s="156">
        <v>153.55999755859301</v>
      </c>
      <c r="J177" s="156">
        <v>489.39001464843699</v>
      </c>
      <c r="K177" s="157">
        <v>161.717954282991</v>
      </c>
    </row>
    <row r="178" spans="1:11" x14ac:dyDescent="0.35">
      <c r="A178" s="154">
        <v>45287</v>
      </c>
      <c r="B178" s="156">
        <v>191.34123431157201</v>
      </c>
      <c r="C178" s="156">
        <v>258.350006103515</v>
      </c>
      <c r="D178" s="156">
        <v>49.492415426358399</v>
      </c>
      <c r="E178" s="156">
        <v>90.093306885327806</v>
      </c>
      <c r="F178" s="156">
        <v>370.17410753556902</v>
      </c>
      <c r="G178" s="156">
        <v>140.91628362015601</v>
      </c>
      <c r="H178" s="156">
        <v>354.39973529595602</v>
      </c>
      <c r="I178" s="156">
        <v>153.55999755859301</v>
      </c>
      <c r="J178" s="156">
        <v>491.239990234375</v>
      </c>
      <c r="K178" s="157">
        <v>162.084939043031</v>
      </c>
    </row>
    <row r="179" spans="1:11" x14ac:dyDescent="0.35">
      <c r="A179" s="154">
        <v>45288</v>
      </c>
      <c r="B179" s="156">
        <v>192.98136861854101</v>
      </c>
      <c r="C179" s="156">
        <v>263.66000366210898</v>
      </c>
      <c r="D179" s="156">
        <v>49.624367116156101</v>
      </c>
      <c r="E179" s="156">
        <v>89.280662773915793</v>
      </c>
      <c r="F179" s="156">
        <v>371.83823405783397</v>
      </c>
      <c r="G179" s="156">
        <v>140.110145450331</v>
      </c>
      <c r="H179" s="156">
        <v>358.01269155934699</v>
      </c>
      <c r="I179" s="156">
        <v>153.72000122070301</v>
      </c>
      <c r="J179" s="156">
        <v>492</v>
      </c>
      <c r="K179" s="157">
        <v>163.54316404329001</v>
      </c>
    </row>
    <row r="180" spans="1:11" x14ac:dyDescent="0.35">
      <c r="A180" s="154">
        <v>45289</v>
      </c>
      <c r="B180" s="156">
        <v>192.742785076361</v>
      </c>
      <c r="C180" s="156">
        <v>255.100006103515</v>
      </c>
      <c r="D180" s="156">
        <v>49.794301473071101</v>
      </c>
      <c r="E180" s="156">
        <v>89.310403228359704</v>
      </c>
      <c r="F180" s="156">
        <v>372.46232100930303</v>
      </c>
      <c r="G180" s="156">
        <v>138.965617511582</v>
      </c>
      <c r="H180" s="156">
        <v>357.305994487948</v>
      </c>
      <c r="I180" s="156">
        <v>153.100006103515</v>
      </c>
      <c r="J180" s="156">
        <v>490.36999511718699</v>
      </c>
      <c r="K180" s="157">
        <v>164.17086380531001</v>
      </c>
    </row>
    <row r="181" spans="1:11" x14ac:dyDescent="0.35">
      <c r="A181" s="154">
        <v>45293</v>
      </c>
      <c r="B181" s="156">
        <v>186.033072006472</v>
      </c>
      <c r="C181" s="156">
        <v>250.08000183105401</v>
      </c>
      <c r="D181" s="156">
        <v>49.225513899127101</v>
      </c>
      <c r="E181" s="156">
        <v>89.290582800545394</v>
      </c>
      <c r="F181" s="156">
        <v>370.34247374628302</v>
      </c>
      <c r="G181" s="156">
        <v>137.89075472780101</v>
      </c>
      <c r="H181" s="156">
        <v>349.67199181542497</v>
      </c>
      <c r="I181" s="156">
        <v>151.53999328613199</v>
      </c>
      <c r="J181" s="156">
        <v>483.19000244140602</v>
      </c>
      <c r="K181" s="157">
        <v>163.292053990726</v>
      </c>
    </row>
    <row r="182" spans="1:11" x14ac:dyDescent="0.35">
      <c r="A182" s="154">
        <v>45294</v>
      </c>
      <c r="B182" s="156">
        <v>183.12057087929301</v>
      </c>
      <c r="C182" s="156">
        <v>244.97999572753901</v>
      </c>
      <c r="D182" s="156">
        <v>47.467175544492498</v>
      </c>
      <c r="E182" s="156">
        <v>89.419418596337096</v>
      </c>
      <c r="F182" s="156">
        <v>365.53812256588799</v>
      </c>
      <c r="G182" s="156">
        <v>136.596950537775</v>
      </c>
      <c r="H182" s="156">
        <v>343.36174333602202</v>
      </c>
      <c r="I182" s="156">
        <v>149.19999694824199</v>
      </c>
      <c r="J182" s="156">
        <v>467.32000732421801</v>
      </c>
      <c r="K182" s="157">
        <v>165.967086862542</v>
      </c>
    </row>
    <row r="183" spans="1:11" x14ac:dyDescent="0.35">
      <c r="A183" s="154">
        <v>45295</v>
      </c>
      <c r="B183" s="156">
        <v>181.06291404030401</v>
      </c>
      <c r="C183" s="156">
        <v>239.25</v>
      </c>
      <c r="D183" s="156">
        <v>47.749068186417901</v>
      </c>
      <c r="E183" s="156">
        <v>91.114052202622204</v>
      </c>
      <c r="F183" s="156">
        <v>367.18253591587398</v>
      </c>
      <c r="G183" s="156">
        <v>137.761367461275</v>
      </c>
      <c r="H183" s="156">
        <v>342.88399416656301</v>
      </c>
      <c r="I183" s="156">
        <v>145.58999633789</v>
      </c>
      <c r="J183" s="156">
        <v>472.98001098632801</v>
      </c>
      <c r="K183" s="157">
        <v>165.80505109952699</v>
      </c>
    </row>
    <row r="184" spans="1:11" x14ac:dyDescent="0.35">
      <c r="A184" s="154">
        <v>45296</v>
      </c>
      <c r="B184" s="156">
        <v>180.90388776119499</v>
      </c>
      <c r="C184" s="156">
        <v>236.86000061035099</v>
      </c>
      <c r="D184" s="156">
        <v>48.4438038170967</v>
      </c>
      <c r="E184" s="156">
        <v>89.597800967651494</v>
      </c>
      <c r="F184" s="156">
        <v>365.49850071363397</v>
      </c>
      <c r="G184" s="156">
        <v>136.09933375873101</v>
      </c>
      <c r="H184" s="156">
        <v>345.36228685727298</v>
      </c>
      <c r="I184" s="156">
        <v>144.69000244140599</v>
      </c>
      <c r="J184" s="156">
        <v>476.5</v>
      </c>
      <c r="K184" s="157">
        <v>166.61154982783299</v>
      </c>
    </row>
    <row r="185" spans="1:11" x14ac:dyDescent="0.35">
      <c r="A185" s="154">
        <v>45299</v>
      </c>
      <c r="B185" s="156">
        <v>181.00326845316701</v>
      </c>
      <c r="C185" s="156">
        <v>236.13999938964801</v>
      </c>
      <c r="D185" s="156">
        <v>49.493411188465799</v>
      </c>
      <c r="E185" s="156">
        <v>90.727554321289006</v>
      </c>
      <c r="F185" s="156">
        <v>365.82537100038599</v>
      </c>
      <c r="G185" s="156">
        <v>135.64151243145901</v>
      </c>
      <c r="H185" s="156">
        <v>353.03615400332598</v>
      </c>
      <c r="I185" s="156">
        <v>146.74000549316401</v>
      </c>
      <c r="J185" s="156">
        <v>473.89001464843699</v>
      </c>
      <c r="K185" s="157">
        <v>167.14595031738199</v>
      </c>
    </row>
    <row r="186" spans="1:11" x14ac:dyDescent="0.35">
      <c r="A186" s="154">
        <v>45300</v>
      </c>
      <c r="B186" s="156">
        <v>182.82234457020999</v>
      </c>
      <c r="C186" s="156">
        <v>238.11000061035099</v>
      </c>
      <c r="D186" s="156">
        <v>52.381331320871098</v>
      </c>
      <c r="E186" s="156">
        <v>90.232056168730097</v>
      </c>
      <c r="F186" s="156">
        <v>368.50992959667298</v>
      </c>
      <c r="G186" s="156">
        <v>137.84100303562701</v>
      </c>
      <c r="H186" s="156">
        <v>354.728128822325</v>
      </c>
      <c r="I186" s="156">
        <v>148.33000183105401</v>
      </c>
      <c r="J186" s="156">
        <v>475.52999877929602</v>
      </c>
      <c r="K186" s="157">
        <v>166.75729964288999</v>
      </c>
    </row>
    <row r="187" spans="1:11" x14ac:dyDescent="0.35">
      <c r="A187" s="154">
        <v>45301</v>
      </c>
      <c r="B187" s="156">
        <v>183.24979649333201</v>
      </c>
      <c r="C187" s="156">
        <v>235.100006103515</v>
      </c>
      <c r="D187" s="156">
        <v>53.5958794071028</v>
      </c>
      <c r="E187" s="156">
        <v>89.013091478693994</v>
      </c>
      <c r="F187" s="156">
        <v>372.82883153582202</v>
      </c>
      <c r="G187" s="156">
        <v>140.32910370592899</v>
      </c>
      <c r="H187" s="156">
        <v>358.48050575817001</v>
      </c>
      <c r="I187" s="156">
        <v>152.05999755859301</v>
      </c>
      <c r="J187" s="156">
        <v>481.600006103515</v>
      </c>
      <c r="K187" s="157">
        <v>165.183197809201</v>
      </c>
    </row>
    <row r="188" spans="1:11" x14ac:dyDescent="0.35">
      <c r="A188" s="154">
        <v>45302</v>
      </c>
      <c r="B188" s="156">
        <v>185.42670336710799</v>
      </c>
      <c r="C188" s="156">
        <v>230.57000732421801</v>
      </c>
      <c r="D188" s="156">
        <v>54.9783538106687</v>
      </c>
      <c r="E188" s="156">
        <v>88.586957144745796</v>
      </c>
      <c r="F188" s="156">
        <v>382.36824416855001</v>
      </c>
      <c r="G188" s="156">
        <v>142.807255808142</v>
      </c>
      <c r="H188" s="156">
        <v>370.38436486544498</v>
      </c>
      <c r="I188" s="156">
        <v>155.03999328613199</v>
      </c>
      <c r="J188" s="156">
        <v>492.54000854492102</v>
      </c>
      <c r="K188" s="157">
        <v>165.50386497924799</v>
      </c>
    </row>
    <row r="189" spans="1:11" x14ac:dyDescent="0.35">
      <c r="A189" s="154">
        <v>45303</v>
      </c>
      <c r="B189" s="156">
        <v>184.94955813530001</v>
      </c>
      <c r="C189" s="156">
        <v>220.08000183105401</v>
      </c>
      <c r="D189" s="156">
        <v>54.599494388186997</v>
      </c>
      <c r="E189" s="156">
        <v>88.844621623626793</v>
      </c>
      <c r="F189" s="156">
        <v>381.86305977619401</v>
      </c>
      <c r="G189" s="156">
        <v>141.99114627081701</v>
      </c>
      <c r="H189" s="156">
        <v>368.42363171070502</v>
      </c>
      <c r="I189" s="156">
        <v>155.38999938964801</v>
      </c>
      <c r="J189" s="156">
        <v>500.510009765625</v>
      </c>
      <c r="K189" s="157">
        <v>168.87554509908699</v>
      </c>
    </row>
    <row r="190" spans="1:11" x14ac:dyDescent="0.35">
      <c r="A190" s="154">
        <v>45307</v>
      </c>
      <c r="B190" s="156">
        <v>181.072844847807</v>
      </c>
      <c r="C190" s="156">
        <v>215.100006103515</v>
      </c>
      <c r="D190" s="156">
        <v>54.997349615916697</v>
      </c>
      <c r="E190" s="156">
        <v>89.4788733771191</v>
      </c>
      <c r="F190" s="156">
        <v>389.95620275456298</v>
      </c>
      <c r="G190" s="156">
        <v>141.32433776226199</v>
      </c>
      <c r="H190" s="156">
        <v>371.89723274281698</v>
      </c>
      <c r="I190" s="156">
        <v>153.52999877929599</v>
      </c>
      <c r="J190" s="156">
        <v>490</v>
      </c>
      <c r="K190" s="157">
        <v>160.19854084020301</v>
      </c>
    </row>
    <row r="191" spans="1:11" x14ac:dyDescent="0.35">
      <c r="A191" s="154">
        <v>45308</v>
      </c>
      <c r="B191" s="156">
        <v>180.18816351220801</v>
      </c>
      <c r="C191" s="156">
        <v>214.86000061035099</v>
      </c>
      <c r="D191" s="156">
        <v>56.325851721777198</v>
      </c>
      <c r="E191" s="156">
        <v>91.748301712823604</v>
      </c>
      <c r="F191" s="156">
        <v>384.329662033516</v>
      </c>
      <c r="G191" s="156">
        <v>140.67745082971999</v>
      </c>
      <c r="H191" s="156">
        <v>364.58176191261498</v>
      </c>
      <c r="I191" s="156">
        <v>151.49000549316401</v>
      </c>
      <c r="J191" s="156">
        <v>484.5</v>
      </c>
      <c r="K191" s="157">
        <v>162.59856833074201</v>
      </c>
    </row>
    <row r="192" spans="1:11" x14ac:dyDescent="0.35">
      <c r="A192" s="154">
        <v>45309</v>
      </c>
      <c r="B192" s="156">
        <v>184.97937737290499</v>
      </c>
      <c r="C192" s="156">
        <v>216.88000488281199</v>
      </c>
      <c r="D192" s="156">
        <v>57.238502285054501</v>
      </c>
      <c r="E192" s="156">
        <v>89.845558915679604</v>
      </c>
      <c r="F192" s="156">
        <v>388.034480055725</v>
      </c>
      <c r="G192" s="156">
        <v>141.37411363155601</v>
      </c>
      <c r="H192" s="156">
        <v>369.747351980296</v>
      </c>
      <c r="I192" s="156">
        <v>152.77000427246</v>
      </c>
      <c r="J192" s="156">
        <v>480.02999877929602</v>
      </c>
      <c r="K192" s="157">
        <v>162.38479731918301</v>
      </c>
    </row>
    <row r="193" spans="1:11" x14ac:dyDescent="0.35">
      <c r="A193" s="154">
        <v>45310</v>
      </c>
      <c r="B193" s="156">
        <v>188.20006116021599</v>
      </c>
      <c r="C193" s="156">
        <v>209.99000549316401</v>
      </c>
      <c r="D193" s="156">
        <v>57.967227266209399</v>
      </c>
      <c r="E193" s="156">
        <v>91.490633745686793</v>
      </c>
      <c r="F193" s="156">
        <v>392.03647321726902</v>
      </c>
      <c r="G193" s="156">
        <v>144.05132131081501</v>
      </c>
      <c r="H193" s="156">
        <v>377.22216828002399</v>
      </c>
      <c r="I193" s="156">
        <v>153.83000183105401</v>
      </c>
      <c r="J193" s="156">
        <v>484.98001098632801</v>
      </c>
      <c r="K193" s="157">
        <v>162.802628169608</v>
      </c>
    </row>
    <row r="194" spans="1:11" x14ac:dyDescent="0.35">
      <c r="A194" s="154">
        <v>45313</v>
      </c>
      <c r="B194" s="156">
        <v>191.152342002323</v>
      </c>
      <c r="C194" s="156">
        <v>212.259994506835</v>
      </c>
      <c r="D194" s="156">
        <v>60.026459242428899</v>
      </c>
      <c r="E194" s="156">
        <v>92.035699902353997</v>
      </c>
      <c r="F194" s="156">
        <v>396.25634353223899</v>
      </c>
      <c r="G194" s="156">
        <v>146.400083450192</v>
      </c>
      <c r="H194" s="156">
        <v>386.13017570793698</v>
      </c>
      <c r="I194" s="156">
        <v>156.88999938964801</v>
      </c>
      <c r="J194" s="156">
        <v>487.54998779296801</v>
      </c>
      <c r="K194" s="157">
        <v>165.630173830323</v>
      </c>
    </row>
    <row r="195" spans="1:11" x14ac:dyDescent="0.35">
      <c r="A195" s="154">
        <v>45314</v>
      </c>
      <c r="B195" s="156">
        <v>193.85610314405699</v>
      </c>
      <c r="C195" s="156">
        <v>211.30000305175699</v>
      </c>
      <c r="D195" s="156">
        <v>59.547641040004798</v>
      </c>
      <c r="E195" s="156">
        <v>94.572703296042107</v>
      </c>
      <c r="F195" s="156">
        <v>392.02655469237402</v>
      </c>
      <c r="G195" s="156">
        <v>145.195825296859</v>
      </c>
      <c r="H195" s="156">
        <v>382.81580060685798</v>
      </c>
      <c r="I195" s="156">
        <v>154.850006103515</v>
      </c>
      <c r="J195" s="156">
        <v>492</v>
      </c>
      <c r="K195" s="157">
        <v>164.86253838699801</v>
      </c>
    </row>
    <row r="196" spans="1:11" x14ac:dyDescent="0.35">
      <c r="A196" s="154">
        <v>45315</v>
      </c>
      <c r="B196" s="156">
        <v>194.25371040083701</v>
      </c>
      <c r="C196" s="156">
        <v>211.88000488281199</v>
      </c>
      <c r="D196" s="156">
        <v>60.281364847984499</v>
      </c>
      <c r="E196" s="156">
        <v>93.571767460754003</v>
      </c>
      <c r="F196" s="156">
        <v>397.76203817913699</v>
      </c>
      <c r="G196" s="156">
        <v>147.83320457288801</v>
      </c>
      <c r="H196" s="156">
        <v>388.17055053021801</v>
      </c>
      <c r="I196" s="156">
        <v>157.80000305175699</v>
      </c>
      <c r="J196" s="156">
        <v>537.75</v>
      </c>
      <c r="K196" s="157">
        <v>164.56132316940699</v>
      </c>
    </row>
    <row r="197" spans="1:11" x14ac:dyDescent="0.35">
      <c r="A197" s="154">
        <v>45316</v>
      </c>
      <c r="B197" s="156">
        <v>194.05490594716301</v>
      </c>
      <c r="C197" s="156">
        <v>189.69999694824199</v>
      </c>
      <c r="D197" s="156">
        <v>62.326590967001799</v>
      </c>
      <c r="E197" s="156">
        <v>93.076262256061895</v>
      </c>
      <c r="F197" s="156">
        <v>400.51591680984899</v>
      </c>
      <c r="G197" s="156">
        <v>149.35594626907999</v>
      </c>
      <c r="H197" s="156">
        <v>388.33977252906197</v>
      </c>
      <c r="I197" s="156">
        <v>156.94999694824199</v>
      </c>
      <c r="J197" s="156">
        <v>551.95001220703102</v>
      </c>
      <c r="K197" s="157">
        <v>167.42773227377799</v>
      </c>
    </row>
    <row r="198" spans="1:11" x14ac:dyDescent="0.35">
      <c r="A198" s="154">
        <v>45317</v>
      </c>
      <c r="B198" s="156">
        <v>193.11058683739901</v>
      </c>
      <c r="C198" s="156">
        <v>185.5</v>
      </c>
      <c r="D198" s="156">
        <v>60.937118476074801</v>
      </c>
      <c r="E198" s="156">
        <v>94.146567500539604</v>
      </c>
      <c r="F198" s="156">
        <v>400.56544027190603</v>
      </c>
      <c r="G198" s="156">
        <v>150.381040920939</v>
      </c>
      <c r="H198" s="156">
        <v>392.50014409851201</v>
      </c>
      <c r="I198" s="156">
        <v>158.419998168945</v>
      </c>
      <c r="J198" s="156">
        <v>561.80999755859295</v>
      </c>
      <c r="K198" s="157">
        <v>167.71925688296801</v>
      </c>
    </row>
    <row r="199" spans="1:11" x14ac:dyDescent="0.35">
      <c r="A199" s="154">
        <v>45320</v>
      </c>
      <c r="B199" s="156">
        <v>190.86405158375999</v>
      </c>
      <c r="C199" s="156">
        <v>185.63000488281199</v>
      </c>
      <c r="D199" s="156">
        <v>61.209012360122699</v>
      </c>
      <c r="E199" s="156">
        <v>94.5627929182088</v>
      </c>
      <c r="F199" s="156">
        <v>402.23951388405999</v>
      </c>
      <c r="G199" s="156">
        <v>151.33645876754801</v>
      </c>
      <c r="H199" s="156">
        <v>393.137112103861</v>
      </c>
      <c r="I199" s="156">
        <v>159.33999633789</v>
      </c>
      <c r="J199" s="156">
        <v>571.34997558593705</v>
      </c>
      <c r="K199" s="157">
        <v>167.359739147483</v>
      </c>
    </row>
    <row r="200" spans="1:11" x14ac:dyDescent="0.35">
      <c r="A200" s="154">
        <v>45321</v>
      </c>
      <c r="B200" s="156">
        <v>189.80047228297599</v>
      </c>
      <c r="C200" s="156">
        <v>195.33000183105401</v>
      </c>
      <c r="D200" s="156">
        <v>62.876387020851098</v>
      </c>
      <c r="E200" s="156">
        <v>95.652904915865605</v>
      </c>
      <c r="F200" s="156">
        <v>408.381211197987</v>
      </c>
      <c r="G200" s="156">
        <v>152.07293911887101</v>
      </c>
      <c r="H200" s="156">
        <v>401.69675867312998</v>
      </c>
      <c r="I200" s="156">
        <v>160.69999694824199</v>
      </c>
      <c r="J200" s="156">
        <v>567.32000732421795</v>
      </c>
      <c r="K200" s="157">
        <v>167.93301032286499</v>
      </c>
    </row>
    <row r="201" spans="1:11" x14ac:dyDescent="0.35">
      <c r="A201" s="154">
        <v>45322</v>
      </c>
      <c r="B201" s="156">
        <v>185.923727976181</v>
      </c>
      <c r="C201" s="156">
        <v>187</v>
      </c>
      <c r="D201" s="156">
        <v>61.416933296310503</v>
      </c>
      <c r="E201" s="156">
        <v>95.553797380690298</v>
      </c>
      <c r="F201" s="156">
        <v>403.13104610520099</v>
      </c>
      <c r="G201" s="156">
        <v>142.936604633283</v>
      </c>
      <c r="H201" s="156">
        <v>387.17523905461297</v>
      </c>
      <c r="I201" s="156">
        <v>157</v>
      </c>
      <c r="J201" s="156">
        <v>562.84997558593705</v>
      </c>
      <c r="K201" s="157">
        <v>171.20752412636801</v>
      </c>
    </row>
    <row r="202" spans="1:11" x14ac:dyDescent="0.35">
      <c r="A202" s="154">
        <v>45323</v>
      </c>
      <c r="B202" s="156">
        <v>182.89194515002899</v>
      </c>
      <c r="C202" s="156">
        <v>188.5</v>
      </c>
      <c r="D202" s="156">
        <v>62.076687694922398</v>
      </c>
      <c r="E202" s="156">
        <v>95.504253142129798</v>
      </c>
      <c r="F202" s="156">
        <v>398.04932225916798</v>
      </c>
      <c r="G202" s="156">
        <v>141.44376595073399</v>
      </c>
      <c r="H202" s="156">
        <v>392.09207509206101</v>
      </c>
      <c r="I202" s="156">
        <v>155.86999511718699</v>
      </c>
      <c r="J202" s="156">
        <v>567.02001953125</v>
      </c>
      <c r="K202" s="157">
        <v>168.72004875361901</v>
      </c>
    </row>
    <row r="203" spans="1:11" x14ac:dyDescent="0.35">
      <c r="A203" s="154">
        <v>45324</v>
      </c>
      <c r="B203" s="156">
        <v>178.786573094452</v>
      </c>
      <c r="C203" s="156">
        <v>185.03999328613199</v>
      </c>
      <c r="D203" s="156">
        <v>63.949985878321101</v>
      </c>
      <c r="E203" s="156">
        <v>95.415060945126896</v>
      </c>
      <c r="F203" s="156">
        <v>400.01069701755802</v>
      </c>
      <c r="G203" s="156">
        <v>138.59735029359001</v>
      </c>
      <c r="H203" s="156">
        <v>457.44405017737603</v>
      </c>
      <c r="I203" s="156">
        <v>169.19000244140599</v>
      </c>
      <c r="J203" s="156">
        <v>564.52001953125</v>
      </c>
      <c r="K203" s="157">
        <v>168.389699715078</v>
      </c>
    </row>
    <row r="204" spans="1:11" x14ac:dyDescent="0.35">
      <c r="A204" s="154">
        <v>45327</v>
      </c>
      <c r="B204" s="156">
        <v>187.02708693103801</v>
      </c>
      <c r="C204" s="156">
        <v>184.259994506835</v>
      </c>
      <c r="D204" s="156">
        <v>68.199390124241702</v>
      </c>
      <c r="E204" s="156">
        <v>95.831284565621004</v>
      </c>
      <c r="F204" s="156">
        <v>406.04341808716401</v>
      </c>
      <c r="G204" s="156">
        <v>142.140444501275</v>
      </c>
      <c r="H204" s="156">
        <v>467.67583103360101</v>
      </c>
      <c r="I204" s="156">
        <v>170.19999694824199</v>
      </c>
      <c r="J204" s="156">
        <v>562.469970703125</v>
      </c>
      <c r="K204" s="157">
        <v>168.93382901536299</v>
      </c>
    </row>
    <row r="205" spans="1:11" x14ac:dyDescent="0.35">
      <c r="A205" s="154">
        <v>45328</v>
      </c>
      <c r="B205" s="156">
        <v>185.74480203892301</v>
      </c>
      <c r="C205" s="156">
        <v>177.21000671386699</v>
      </c>
      <c r="D205" s="156">
        <v>69.603864955917899</v>
      </c>
      <c r="E205" s="156">
        <v>96.049313773617598</v>
      </c>
      <c r="F205" s="156">
        <v>402.06121084908</v>
      </c>
      <c r="G205" s="156">
        <v>143.96172326935101</v>
      </c>
      <c r="H205" s="156">
        <v>461.82341159704202</v>
      </c>
      <c r="I205" s="156">
        <v>169.38999938964801</v>
      </c>
      <c r="J205" s="156">
        <v>564.11999511718705</v>
      </c>
      <c r="K205" s="157">
        <v>169.662565555323</v>
      </c>
    </row>
    <row r="206" spans="1:11" x14ac:dyDescent="0.35">
      <c r="A206" s="154">
        <v>45329</v>
      </c>
      <c r="B206" s="156">
        <v>189.502241788346</v>
      </c>
      <c r="C206" s="156">
        <v>188.17999267578099</v>
      </c>
      <c r="D206" s="156">
        <v>68.293347203174804</v>
      </c>
      <c r="E206" s="156">
        <v>96.515088034321195</v>
      </c>
      <c r="F206" s="156">
        <v>403.60653322309599</v>
      </c>
      <c r="G206" s="156">
        <v>144.07121617239801</v>
      </c>
      <c r="H206" s="156">
        <v>455.85157795032001</v>
      </c>
      <c r="I206" s="156">
        <v>169.47999572753901</v>
      </c>
      <c r="J206" s="156">
        <v>558.15997314453102</v>
      </c>
      <c r="K206" s="157">
        <v>170.71199322200201</v>
      </c>
    </row>
    <row r="207" spans="1:11" x14ac:dyDescent="0.35">
      <c r="A207" s="154">
        <v>45330</v>
      </c>
      <c r="B207" s="156">
        <v>188.25971226684001</v>
      </c>
      <c r="C207" s="156">
        <v>189</v>
      </c>
      <c r="D207" s="156">
        <v>70.047688997991102</v>
      </c>
      <c r="E207" s="156">
        <v>106.11804292512799</v>
      </c>
      <c r="F207" s="156">
        <v>410.15437308446002</v>
      </c>
      <c r="G207" s="156">
        <v>145.13612284709299</v>
      </c>
      <c r="H207" s="156">
        <v>466.12317604817201</v>
      </c>
      <c r="I207" s="156">
        <v>169.64999389648401</v>
      </c>
      <c r="J207" s="156">
        <v>560.54998779296795</v>
      </c>
      <c r="K207" s="157">
        <v>170.04152869669201</v>
      </c>
    </row>
    <row r="208" spans="1:11" x14ac:dyDescent="0.35">
      <c r="A208" s="154">
        <v>45331</v>
      </c>
      <c r="B208" s="156">
        <v>187.76340641648</v>
      </c>
      <c r="C208" s="156">
        <v>190.17999267578099</v>
      </c>
      <c r="D208" s="156">
        <v>70.506521007902407</v>
      </c>
      <c r="E208" s="156">
        <v>108.61540405079</v>
      </c>
      <c r="F208" s="156">
        <v>411.34301809604199</v>
      </c>
      <c r="G208" s="156">
        <v>145.98206257663199</v>
      </c>
      <c r="H208" s="156">
        <v>470.73147709331101</v>
      </c>
      <c r="I208" s="156">
        <v>170.89999389648401</v>
      </c>
      <c r="J208" s="156">
        <v>565</v>
      </c>
      <c r="K208" s="157">
        <v>170.04151243454899</v>
      </c>
    </row>
    <row r="209" spans="1:11" x14ac:dyDescent="0.35">
      <c r="A209" s="154">
        <v>45334</v>
      </c>
      <c r="B209" s="156">
        <v>187.53448242230999</v>
      </c>
      <c r="C209" s="156">
        <v>192.11000061035099</v>
      </c>
      <c r="D209" s="156">
        <v>72.572743833834494</v>
      </c>
      <c r="E209" s="156">
        <v>106.91085255980801</v>
      </c>
      <c r="F209" s="156">
        <v>416.60308827739902</v>
      </c>
      <c r="G209" s="156">
        <v>147.713767411975</v>
      </c>
      <c r="H209" s="156">
        <v>465.99377848403498</v>
      </c>
      <c r="I209" s="156">
        <v>174.80000305175699</v>
      </c>
      <c r="J209" s="156">
        <v>560.35998535156205</v>
      </c>
      <c r="K209" s="157">
        <v>169.82776583901401</v>
      </c>
    </row>
    <row r="210" spans="1:11" x14ac:dyDescent="0.35">
      <c r="A210" s="154">
        <v>45335</v>
      </c>
      <c r="B210" s="156">
        <v>184.89694454758401</v>
      </c>
      <c r="C210" s="156">
        <v>183.99000549316401</v>
      </c>
      <c r="D210" s="156">
        <v>70.373588384824799</v>
      </c>
      <c r="E210" s="156">
        <v>107.30725812951999</v>
      </c>
      <c r="F210" s="156">
        <v>401.13007987504</v>
      </c>
      <c r="G210" s="156">
        <v>144.230447433037</v>
      </c>
      <c r="H210" s="156">
        <v>454.72688467974899</v>
      </c>
      <c r="I210" s="156">
        <v>167.72999572753901</v>
      </c>
      <c r="J210" s="156">
        <v>550.79998779296795</v>
      </c>
      <c r="K210" s="157">
        <v>170.352472815721</v>
      </c>
    </row>
    <row r="211" spans="1:11" x14ac:dyDescent="0.35">
      <c r="A211" s="154">
        <v>45336</v>
      </c>
      <c r="B211" s="156">
        <v>184.449060625046</v>
      </c>
      <c r="C211" s="156">
        <v>185.30000305175699</v>
      </c>
      <c r="D211" s="156">
        <v>73.174525014012204</v>
      </c>
      <c r="E211" s="156">
        <v>109.58660077734601</v>
      </c>
      <c r="F211" s="156">
        <v>404.97816607102902</v>
      </c>
      <c r="G211" s="156">
        <v>145.384938727449</v>
      </c>
      <c r="H211" s="156">
        <v>465.73499606089399</v>
      </c>
      <c r="I211" s="156">
        <v>169.21000671386699</v>
      </c>
      <c r="J211" s="156">
        <v>567.260009765625</v>
      </c>
      <c r="K211" s="157">
        <v>170.10955220055101</v>
      </c>
    </row>
    <row r="212" spans="1:11" x14ac:dyDescent="0.35">
      <c r="A212" s="154">
        <v>45337</v>
      </c>
      <c r="B212" s="156">
        <v>182.68738521978699</v>
      </c>
      <c r="C212" s="156">
        <v>189.16000366210901</v>
      </c>
      <c r="D212" s="156">
        <v>73.841273610846599</v>
      </c>
      <c r="E212" s="156">
        <v>110.082108754226</v>
      </c>
      <c r="F212" s="156">
        <v>405.04762939534203</v>
      </c>
      <c r="G212" s="156">
        <v>142.45890230948501</v>
      </c>
      <c r="H212" s="156">
        <v>473.05050586053198</v>
      </c>
      <c r="I212" s="156">
        <v>170.58000183105401</v>
      </c>
      <c r="J212" s="156">
        <v>581.90997314453102</v>
      </c>
      <c r="K212" s="157">
        <v>171.158945902478</v>
      </c>
    </row>
    <row r="213" spans="1:11" x14ac:dyDescent="0.35">
      <c r="A213" s="154">
        <v>45338</v>
      </c>
      <c r="B213" s="156">
        <v>182.557985271147</v>
      </c>
      <c r="C213" s="156">
        <v>202.05999755859301</v>
      </c>
      <c r="D213" s="156">
        <v>74.072180409273301</v>
      </c>
      <c r="E213" s="156">
        <v>111.013660094549</v>
      </c>
      <c r="F213" s="156">
        <v>404.86897976610402</v>
      </c>
      <c r="G213" s="156">
        <v>142.309627809836</v>
      </c>
      <c r="H213" s="156">
        <v>475.86717872384497</v>
      </c>
      <c r="I213" s="156">
        <v>168.74000549316401</v>
      </c>
      <c r="J213" s="156">
        <v>596.95001220703102</v>
      </c>
      <c r="K213" s="157">
        <v>174.520919707753</v>
      </c>
    </row>
    <row r="214" spans="1:11" x14ac:dyDescent="0.35">
      <c r="A214" s="154">
        <v>45342</v>
      </c>
      <c r="B214" s="156">
        <v>180.93562562036499</v>
      </c>
      <c r="C214" s="156">
        <v>196.13000488281199</v>
      </c>
      <c r="D214" s="156">
        <v>71.919992428786202</v>
      </c>
      <c r="E214" s="156">
        <v>109.85416974974601</v>
      </c>
      <c r="F214" s="156">
        <v>400.18473145901498</v>
      </c>
      <c r="G214" s="156">
        <v>138.995472333457</v>
      </c>
      <c r="H214" s="156">
        <v>467.51660255235498</v>
      </c>
      <c r="I214" s="156">
        <v>167.83000183105401</v>
      </c>
      <c r="J214" s="156">
        <v>580.17999267578102</v>
      </c>
      <c r="K214" s="157">
        <v>174.11280391924899</v>
      </c>
    </row>
    <row r="215" spans="1:11" x14ac:dyDescent="0.35">
      <c r="A215" s="154">
        <v>45343</v>
      </c>
      <c r="B215" s="156">
        <v>181.084961521114</v>
      </c>
      <c r="C215" s="156">
        <v>193.36000061035099</v>
      </c>
      <c r="D215" s="156">
        <v>67.980474336960597</v>
      </c>
      <c r="E215" s="156">
        <v>107.50546434076</v>
      </c>
      <c r="F215" s="156">
        <v>397.13797108170598</v>
      </c>
      <c r="G215" s="156">
        <v>140.77694732337</v>
      </c>
      <c r="H215" s="156">
        <v>464.80432845189802</v>
      </c>
      <c r="I215" s="156">
        <v>168.94000244140599</v>
      </c>
      <c r="J215" s="156">
        <v>573.510009765625</v>
      </c>
      <c r="K215" s="157">
        <v>174.851273399984</v>
      </c>
    </row>
    <row r="216" spans="1:11" x14ac:dyDescent="0.35">
      <c r="A216" s="154">
        <v>45344</v>
      </c>
      <c r="B216" s="156">
        <v>182.61770805641299</v>
      </c>
      <c r="C216" s="156">
        <v>194</v>
      </c>
      <c r="D216" s="156">
        <v>74.996840183306702</v>
      </c>
      <c r="E216" s="156">
        <v>107.019866030663</v>
      </c>
      <c r="F216" s="156">
        <v>407.08207646174901</v>
      </c>
      <c r="G216" s="156">
        <v>144.24038790152301</v>
      </c>
      <c r="H216" s="156">
        <v>478.49437097767498</v>
      </c>
      <c r="I216" s="156">
        <v>173.100006103515</v>
      </c>
      <c r="J216" s="156">
        <v>582.75</v>
      </c>
      <c r="K216" s="157">
        <v>176.66830638231801</v>
      </c>
    </row>
    <row r="217" spans="1:11" x14ac:dyDescent="0.35">
      <c r="A217" s="154">
        <v>45345</v>
      </c>
      <c r="B217" s="156">
        <v>184.140504229866</v>
      </c>
      <c r="C217" s="156">
        <v>195.30999755859301</v>
      </c>
      <c r="D217" s="156">
        <v>80.759673487289604</v>
      </c>
      <c r="E217" s="156">
        <v>106.60363900380401</v>
      </c>
      <c r="F217" s="156">
        <v>412.52055905547098</v>
      </c>
      <c r="G217" s="156">
        <v>142.986380543221</v>
      </c>
      <c r="H217" s="156">
        <v>486.27600690207697</v>
      </c>
      <c r="I217" s="156">
        <v>174.27999877929599</v>
      </c>
      <c r="J217" s="156">
        <v>586.40002441406205</v>
      </c>
      <c r="K217" s="157">
        <v>178.60190212511799</v>
      </c>
    </row>
    <row r="218" spans="1:11" x14ac:dyDescent="0.35">
      <c r="A218" s="154">
        <v>45348</v>
      </c>
      <c r="B218" s="156">
        <v>181.383550522973</v>
      </c>
      <c r="C218" s="156">
        <v>192.28999328613199</v>
      </c>
      <c r="D218" s="156">
        <v>79.670090460881298</v>
      </c>
      <c r="E218" s="156">
        <v>106.554080230822</v>
      </c>
      <c r="F218" s="156">
        <v>408.34243031561903</v>
      </c>
      <c r="G218" s="156">
        <v>141.46366762210701</v>
      </c>
      <c r="H218" s="156">
        <v>481.71264471932898</v>
      </c>
      <c r="I218" s="156">
        <v>175.69999694824199</v>
      </c>
      <c r="J218" s="156">
        <v>583.55999755859295</v>
      </c>
      <c r="K218" s="157">
        <v>178.54359140431501</v>
      </c>
    </row>
    <row r="219" spans="1:11" x14ac:dyDescent="0.35">
      <c r="A219" s="154">
        <v>45349</v>
      </c>
      <c r="B219" s="156">
        <v>180.24888975946499</v>
      </c>
      <c r="C219" s="156">
        <v>204.03999328613199</v>
      </c>
      <c r="D219" s="156">
        <v>79.351192749892107</v>
      </c>
      <c r="E219" s="156">
        <v>106.81175295697101</v>
      </c>
      <c r="F219" s="156">
        <v>404.89875442587299</v>
      </c>
      <c r="G219" s="156">
        <v>137.36328390942401</v>
      </c>
      <c r="H219" s="156">
        <v>478.23535408979802</v>
      </c>
      <c r="I219" s="156">
        <v>174.08000183105401</v>
      </c>
      <c r="J219" s="156">
        <v>595</v>
      </c>
      <c r="K219" s="157">
        <v>178.11607308046399</v>
      </c>
    </row>
    <row r="220" spans="1:11" x14ac:dyDescent="0.35">
      <c r="A220" s="154">
        <v>45350</v>
      </c>
      <c r="B220" s="156">
        <v>181.65227187035501</v>
      </c>
      <c r="C220" s="156">
        <v>200.419998168945</v>
      </c>
      <c r="D220" s="156">
        <v>77.590866970467005</v>
      </c>
      <c r="E220" s="156">
        <v>107.802768987535</v>
      </c>
      <c r="F220" s="156">
        <v>405.08730454297398</v>
      </c>
      <c r="G220" s="156">
        <v>137.24383567629201</v>
      </c>
      <c r="H220" s="156">
        <v>483.237099431557</v>
      </c>
      <c r="I220" s="156">
        <v>172.44000244140599</v>
      </c>
      <c r="J220" s="156">
        <v>595.78997802734295</v>
      </c>
      <c r="K220" s="157">
        <v>178.23266726118601</v>
      </c>
    </row>
    <row r="221" spans="1:11" x14ac:dyDescent="0.35">
      <c r="A221" s="154">
        <v>45351</v>
      </c>
      <c r="B221" s="156">
        <v>180.41810366151401</v>
      </c>
      <c r="C221" s="156">
        <v>204.17999267578099</v>
      </c>
      <c r="D221" s="156">
        <v>79.064307294050394</v>
      </c>
      <c r="E221" s="156">
        <v>110.141571786104</v>
      </c>
      <c r="F221" s="156">
        <v>405.54383488008</v>
      </c>
      <c r="G221" s="156">
        <v>136.626784828702</v>
      </c>
      <c r="H221" s="156">
        <v>486.66459019212698</v>
      </c>
      <c r="I221" s="156">
        <v>173.009994506835</v>
      </c>
      <c r="J221" s="156">
        <v>604.25</v>
      </c>
      <c r="K221" s="157">
        <v>180.399486560452</v>
      </c>
    </row>
    <row r="222" spans="1:11" x14ac:dyDescent="0.35">
      <c r="A222" s="154">
        <v>45352</v>
      </c>
      <c r="B222" s="156">
        <v>178.70617492699901</v>
      </c>
      <c r="C222" s="156">
        <v>200.52000427246</v>
      </c>
      <c r="D222" s="156">
        <v>79.969964225419204</v>
      </c>
      <c r="E222" s="156">
        <v>110.438877208123</v>
      </c>
      <c r="F222" s="156">
        <v>408.15387614397503</v>
      </c>
      <c r="G222" s="156">
        <v>137.77132789362199</v>
      </c>
      <c r="H222" s="156">
        <v>490.32121923483498</v>
      </c>
      <c r="I222" s="156">
        <v>176.75</v>
      </c>
      <c r="J222" s="156">
        <v>599.80999755859295</v>
      </c>
      <c r="K222" s="157">
        <v>180.438349334132</v>
      </c>
    </row>
    <row r="223" spans="1:11" x14ac:dyDescent="0.35">
      <c r="A223" s="154">
        <v>45355</v>
      </c>
      <c r="B223" s="156">
        <v>175.32213749041301</v>
      </c>
      <c r="C223" s="156">
        <v>198.72999572753901</v>
      </c>
      <c r="D223" s="156">
        <v>84.0984151376489</v>
      </c>
      <c r="E223" s="156">
        <v>111.65782200819</v>
      </c>
      <c r="F223" s="156">
        <v>410.30744788649298</v>
      </c>
      <c r="G223" s="156">
        <v>135.01452152533</v>
      </c>
      <c r="H223" s="156">
        <v>501.1716642705</v>
      </c>
      <c r="I223" s="156">
        <v>177.52999877929599</v>
      </c>
      <c r="J223" s="156">
        <v>621.55999755859295</v>
      </c>
      <c r="K223" s="157">
        <v>179.47641108181799</v>
      </c>
    </row>
    <row r="224" spans="1:11" x14ac:dyDescent="0.35">
      <c r="A224" s="154">
        <v>45356</v>
      </c>
      <c r="B224" s="156">
        <v>169.95747192431401</v>
      </c>
      <c r="C224" s="156">
        <v>183.05000305175699</v>
      </c>
      <c r="D224" s="156">
        <v>85.241988210512204</v>
      </c>
      <c r="E224" s="156">
        <v>112.589375727256</v>
      </c>
      <c r="F224" s="156">
        <v>410.823517099372</v>
      </c>
      <c r="G224" s="156">
        <v>131.25250764030901</v>
      </c>
      <c r="H224" s="156">
        <v>493.20073440898301</v>
      </c>
      <c r="I224" s="156">
        <v>176.92999267578099</v>
      </c>
      <c r="J224" s="156">
        <v>610.09997558593705</v>
      </c>
      <c r="K224" s="157">
        <v>181.07966035969801</v>
      </c>
    </row>
    <row r="225" spans="1:11" x14ac:dyDescent="0.35">
      <c r="A225" s="154">
        <v>45357</v>
      </c>
      <c r="B225" s="156">
        <v>170.25606504473799</v>
      </c>
      <c r="C225" s="156">
        <v>179.99000549316401</v>
      </c>
      <c r="D225" s="156">
        <v>87.993089227197999</v>
      </c>
      <c r="E225" s="156">
        <v>112.064140035446</v>
      </c>
      <c r="F225" s="156">
        <v>399.916763744104</v>
      </c>
      <c r="G225" s="156">
        <v>132.486566648289</v>
      </c>
      <c r="H225" s="156">
        <v>495.821215107981</v>
      </c>
      <c r="I225" s="156">
        <v>175.53999328613199</v>
      </c>
      <c r="J225" s="156">
        <v>602.989990234375</v>
      </c>
      <c r="K225" s="157">
        <v>183.88775531481301</v>
      </c>
    </row>
    <row r="226" spans="1:11" x14ac:dyDescent="0.35">
      <c r="A226" s="154">
        <v>45358</v>
      </c>
      <c r="B226" s="156">
        <v>168.35505375316399</v>
      </c>
      <c r="C226" s="156">
        <v>174.350006103515</v>
      </c>
      <c r="D226" s="156">
        <v>90.128373275466501</v>
      </c>
      <c r="E226" s="156">
        <v>109.705518405441</v>
      </c>
      <c r="F226" s="156">
        <v>403.04290164123802</v>
      </c>
      <c r="G226" s="156">
        <v>132.158154551172</v>
      </c>
      <c r="H226" s="156">
        <v>501.45066029643198</v>
      </c>
      <c r="I226" s="156">
        <v>174.83000183105401</v>
      </c>
      <c r="J226" s="156">
        <v>599.34002685546795</v>
      </c>
      <c r="K226" s="157">
        <v>184.529066391551</v>
      </c>
    </row>
    <row r="227" spans="1:11" x14ac:dyDescent="0.35">
      <c r="A227" s="154">
        <v>45359</v>
      </c>
      <c r="B227" s="156">
        <v>168.205762179348</v>
      </c>
      <c r="C227" s="156">
        <v>181.5</v>
      </c>
      <c r="D227" s="156">
        <v>95.106753513057896</v>
      </c>
      <c r="E227" s="156">
        <v>109.190192018635</v>
      </c>
      <c r="F227" s="156">
        <v>404.86895754398</v>
      </c>
      <c r="G227" s="156">
        <v>133.571414122341</v>
      </c>
      <c r="H227" s="156">
        <v>512.32100105428003</v>
      </c>
      <c r="I227" s="156">
        <v>176.44000244140599</v>
      </c>
      <c r="J227" s="156">
        <v>608.27001953125</v>
      </c>
      <c r="K227" s="157">
        <v>183.10071530513699</v>
      </c>
    </row>
    <row r="228" spans="1:11" x14ac:dyDescent="0.35">
      <c r="A228" s="154">
        <v>45362</v>
      </c>
      <c r="B228" s="156">
        <v>172.12725037151901</v>
      </c>
      <c r="C228" s="156">
        <v>175.44999694824199</v>
      </c>
      <c r="D228" s="156">
        <v>86.400610344123507</v>
      </c>
      <c r="E228" s="156">
        <v>109.100998163095</v>
      </c>
      <c r="F228" s="156">
        <v>400.70082652195902</v>
      </c>
      <c r="G228" s="156">
        <v>135.48227264684101</v>
      </c>
      <c r="H228" s="156">
        <v>495.20341654738797</v>
      </c>
      <c r="I228" s="156">
        <v>174.30999755859301</v>
      </c>
      <c r="J228" s="156">
        <v>608.08001708984295</v>
      </c>
      <c r="K228" s="157">
        <v>181.97357888541401</v>
      </c>
    </row>
    <row r="229" spans="1:11" x14ac:dyDescent="0.35">
      <c r="A229" s="154">
        <v>45363</v>
      </c>
      <c r="B229" s="156">
        <v>172.33623719235899</v>
      </c>
      <c r="C229" s="156">
        <v>177.77000427246</v>
      </c>
      <c r="D229" s="156">
        <v>88.020075937486595</v>
      </c>
      <c r="E229" s="156">
        <v>111.50916559769399</v>
      </c>
      <c r="F229" s="156">
        <v>404.53154888971699</v>
      </c>
      <c r="G229" s="156">
        <v>136.377981510393</v>
      </c>
      <c r="H229" s="156">
        <v>491.46707174257898</v>
      </c>
      <c r="I229" s="156">
        <v>173.5</v>
      </c>
      <c r="J229" s="156">
        <v>600.21002197265602</v>
      </c>
      <c r="K229" s="157">
        <v>183.59626228445799</v>
      </c>
    </row>
    <row r="230" spans="1:11" x14ac:dyDescent="0.35">
      <c r="A230" s="154">
        <v>45364</v>
      </c>
      <c r="B230" s="156">
        <v>171.95805191298001</v>
      </c>
      <c r="C230" s="156">
        <v>173.05000305175699</v>
      </c>
      <c r="D230" s="156">
        <v>91.025083986827397</v>
      </c>
      <c r="E230" s="156">
        <v>111.727191193507</v>
      </c>
      <c r="F230" s="156">
        <v>414.93216475426198</v>
      </c>
      <c r="G230" s="156">
        <v>138.33859788324199</v>
      </c>
      <c r="H230" s="156">
        <v>493.58933833128702</v>
      </c>
      <c r="I230" s="156">
        <v>175.89999389648401</v>
      </c>
      <c r="J230" s="156">
        <v>613.36999511718705</v>
      </c>
      <c r="K230" s="157">
        <v>184.966309414101</v>
      </c>
    </row>
    <row r="231" spans="1:11" x14ac:dyDescent="0.35">
      <c r="A231" s="154">
        <v>45365</v>
      </c>
      <c r="B231" s="156">
        <v>172.09737730212501</v>
      </c>
      <c r="C231" s="156">
        <v>167.77000427246</v>
      </c>
      <c r="D231" s="156">
        <v>89.547574466260599</v>
      </c>
      <c r="E231" s="156">
        <v>110.73617399439</v>
      </c>
      <c r="F231" s="156">
        <v>417.05589080335</v>
      </c>
      <c r="G231" s="156">
        <v>140.518182547897</v>
      </c>
      <c r="H231" s="156">
        <v>498.44164831495101</v>
      </c>
      <c r="I231" s="156">
        <v>177.69000244140599</v>
      </c>
      <c r="J231" s="156">
        <v>615</v>
      </c>
      <c r="K231" s="157">
        <v>185.61733829218699</v>
      </c>
    </row>
    <row r="232" spans="1:11" x14ac:dyDescent="0.35">
      <c r="A232" s="154">
        <v>45366</v>
      </c>
      <c r="B232" s="156">
        <v>170.36554869703099</v>
      </c>
      <c r="C232" s="156">
        <v>163.16000366210901</v>
      </c>
      <c r="D232" s="156">
        <v>86.901443882932099</v>
      </c>
      <c r="E232" s="156">
        <v>110.597435910776</v>
      </c>
      <c r="F232" s="156">
        <v>416.113111659445</v>
      </c>
      <c r="G232" s="156">
        <v>141.821950900806</v>
      </c>
      <c r="H232" s="156">
        <v>487.23248812874402</v>
      </c>
      <c r="I232" s="156">
        <v>176.63999938964801</v>
      </c>
      <c r="J232" s="156">
        <v>622.91998291015602</v>
      </c>
      <c r="K232" s="157">
        <v>181.19626419191599</v>
      </c>
    </row>
    <row r="233" spans="1:11" x14ac:dyDescent="0.35">
      <c r="A233" s="154">
        <v>45369</v>
      </c>
      <c r="B233" s="156">
        <v>174.74489145229501</v>
      </c>
      <c r="C233" s="156">
        <v>170.02000427246</v>
      </c>
      <c r="D233" s="156">
        <v>90.358312867292994</v>
      </c>
      <c r="E233" s="156">
        <v>111.281233917324</v>
      </c>
      <c r="F233" s="156">
        <v>411.11127379953399</v>
      </c>
      <c r="G233" s="156">
        <v>147.902877649788</v>
      </c>
      <c r="H233" s="156">
        <v>490.12197495792702</v>
      </c>
      <c r="I233" s="156">
        <v>175.80000305175699</v>
      </c>
      <c r="J233" s="156">
        <v>613.55999755859295</v>
      </c>
      <c r="K233" s="157">
        <v>185.228676017277</v>
      </c>
    </row>
    <row r="234" spans="1:11" x14ac:dyDescent="0.35">
      <c r="A234" s="154">
        <v>45370</v>
      </c>
      <c r="B234" s="156">
        <v>173.520659108915</v>
      </c>
      <c r="C234" s="156">
        <v>172.36000061035099</v>
      </c>
      <c r="D234" s="156">
        <v>86.6715176521204</v>
      </c>
      <c r="E234" s="156">
        <v>112.391176171385</v>
      </c>
      <c r="F234" s="156">
        <v>414.66417945579099</v>
      </c>
      <c r="G234" s="156">
        <v>147.455042013228</v>
      </c>
      <c r="H234" s="156">
        <v>486.39557483866298</v>
      </c>
      <c r="I234" s="156">
        <v>174.22000122070301</v>
      </c>
      <c r="J234" s="156">
        <v>615.61999511718705</v>
      </c>
      <c r="K234" s="157">
        <v>187.249747147834</v>
      </c>
    </row>
    <row r="235" spans="1:11" x14ac:dyDescent="0.35">
      <c r="A235" s="154">
        <v>45371</v>
      </c>
      <c r="B235" s="156">
        <v>174.894174089438</v>
      </c>
      <c r="C235" s="156">
        <v>173</v>
      </c>
      <c r="D235" s="156">
        <v>89.767499977379103</v>
      </c>
      <c r="E235" s="156">
        <v>113.58039369884401</v>
      </c>
      <c r="F235" s="156">
        <v>418.80261020270098</v>
      </c>
      <c r="G235" s="156">
        <v>147.295787932179</v>
      </c>
      <c r="H235" s="156">
        <v>497.68438791493702</v>
      </c>
      <c r="I235" s="156">
        <v>176.13999938964801</v>
      </c>
      <c r="J235" s="156">
        <v>619.95001220703102</v>
      </c>
      <c r="K235" s="157">
        <v>188.68780172424701</v>
      </c>
    </row>
    <row r="236" spans="1:11" x14ac:dyDescent="0.35">
      <c r="A236" s="154">
        <v>45372</v>
      </c>
      <c r="B236" s="156">
        <v>176.21793501777901</v>
      </c>
      <c r="C236" s="156">
        <v>176.38999938964801</v>
      </c>
      <c r="D236" s="156">
        <v>92.269681966173806</v>
      </c>
      <c r="E236" s="156">
        <v>115.93901464095499</v>
      </c>
      <c r="F236" s="156">
        <v>426.57326646256399</v>
      </c>
      <c r="G236" s="156">
        <v>148.75878705056201</v>
      </c>
      <c r="H236" s="156">
        <v>512.83911748560195</v>
      </c>
      <c r="I236" s="156">
        <v>179.99000549316401</v>
      </c>
      <c r="J236" s="156">
        <v>630.65002441406205</v>
      </c>
      <c r="K236" s="157">
        <v>190.95179015796199</v>
      </c>
    </row>
    <row r="237" spans="1:11" x14ac:dyDescent="0.35">
      <c r="A237" s="154">
        <v>45373</v>
      </c>
      <c r="B237" s="156">
        <v>170.952791711033</v>
      </c>
      <c r="C237" s="156">
        <v>166.69000244140599</v>
      </c>
      <c r="D237" s="156">
        <v>91.111057664299494</v>
      </c>
      <c r="E237" s="156">
        <v>115.869641409314</v>
      </c>
      <c r="F237" s="156">
        <v>426.44429478416703</v>
      </c>
      <c r="G237" s="156">
        <v>148.410454202549</v>
      </c>
      <c r="H237" s="156">
        <v>505.15714391202198</v>
      </c>
      <c r="I237" s="156">
        <v>177.75</v>
      </c>
      <c r="J237" s="156">
        <v>624.15997314453102</v>
      </c>
      <c r="K237" s="157">
        <v>193.37121572805299</v>
      </c>
    </row>
    <row r="238" spans="1:11" x14ac:dyDescent="0.35">
      <c r="A238" s="154">
        <v>45376</v>
      </c>
      <c r="B238" s="156">
        <v>169.76839047714</v>
      </c>
      <c r="C238" s="156">
        <v>168.759994506835</v>
      </c>
      <c r="D238" s="156">
        <v>93.910138617861804</v>
      </c>
      <c r="E238" s="156">
        <v>115.919198579666</v>
      </c>
      <c r="F238" s="156">
        <v>422.01800830685397</v>
      </c>
      <c r="G238" s="156">
        <v>149.226555480998</v>
      </c>
      <c r="H238" s="156">
        <v>503.951509609629</v>
      </c>
      <c r="I238" s="156">
        <v>178.009994506835</v>
      </c>
      <c r="J238" s="156">
        <v>627.90002441406205</v>
      </c>
      <c r="K238" s="157">
        <v>191.029521386895</v>
      </c>
    </row>
    <row r="239" spans="1:11" x14ac:dyDescent="0.35">
      <c r="A239" s="154">
        <v>45377</v>
      </c>
      <c r="B239" s="156">
        <v>169.20106023000099</v>
      </c>
      <c r="C239" s="156">
        <v>178.58000183105401</v>
      </c>
      <c r="D239" s="156">
        <v>95.819514134271898</v>
      </c>
      <c r="E239" s="156">
        <v>118.55529975626099</v>
      </c>
      <c r="F239" s="156">
        <v>422.38518724877599</v>
      </c>
      <c r="G239" s="156">
        <v>149.50522345373699</v>
      </c>
      <c r="H239" s="156">
        <v>503.293928587675</v>
      </c>
      <c r="I239" s="156">
        <v>180.14999389648401</v>
      </c>
      <c r="J239" s="156">
        <v>625.20001220703102</v>
      </c>
      <c r="K239" s="157">
        <v>189.07644464639301</v>
      </c>
    </row>
    <row r="240" spans="1:11" x14ac:dyDescent="0.35">
      <c r="A240" s="154">
        <v>45378</v>
      </c>
      <c r="B240" s="156">
        <v>169.60914876354701</v>
      </c>
      <c r="C240" s="156">
        <v>181.41000366210901</v>
      </c>
      <c r="D240" s="156">
        <v>93.081403624127006</v>
      </c>
      <c r="E240" s="156">
        <v>119.87334102659899</v>
      </c>
      <c r="F240" s="156">
        <v>421.22411152583999</v>
      </c>
      <c r="G240" s="156">
        <v>150.46063737451499</v>
      </c>
      <c r="H240" s="156">
        <v>497.48514009525297</v>
      </c>
      <c r="I240" s="156">
        <v>179.88000488281199</v>
      </c>
      <c r="J240" s="156">
        <v>629.010009765625</v>
      </c>
      <c r="K240" s="157">
        <v>190.932355507446</v>
      </c>
    </row>
    <row r="241" spans="1:11" x14ac:dyDescent="0.35">
      <c r="A241" s="154">
        <v>45379</v>
      </c>
      <c r="B241" s="156">
        <v>170.94282285202101</v>
      </c>
      <c r="C241" s="156">
        <v>177.44999694824199</v>
      </c>
      <c r="D241" s="156">
        <v>89.970430988668298</v>
      </c>
      <c r="E241" s="156">
        <v>120.160743847257</v>
      </c>
      <c r="F241" s="156">
        <v>417.77045947270102</v>
      </c>
      <c r="G241" s="156">
        <v>150.13223178829901</v>
      </c>
      <c r="H241" s="156">
        <v>491.04856160579601</v>
      </c>
      <c r="I241" s="156">
        <v>180.169998168945</v>
      </c>
      <c r="J241" s="156">
        <v>614.989990234375</v>
      </c>
      <c r="K241" s="157">
        <v>193.83761737439499</v>
      </c>
    </row>
    <row r="242" spans="1:11" x14ac:dyDescent="0.35">
      <c r="A242" s="154">
        <v>45383</v>
      </c>
      <c r="B242" s="156">
        <v>170.38547862745901</v>
      </c>
      <c r="C242" s="156">
        <v>176.169998168945</v>
      </c>
      <c r="D242" s="156">
        <v>90.269338650653694</v>
      </c>
      <c r="E242" s="156">
        <v>120.96346228743499</v>
      </c>
      <c r="F242" s="156">
        <v>420.737821367641</v>
      </c>
      <c r="G242" s="156">
        <v>149.972974134054</v>
      </c>
      <c r="H242" s="156">
        <v>485.42911655948302</v>
      </c>
      <c r="I242" s="156">
        <v>180.78999328613199</v>
      </c>
      <c r="J242" s="156">
        <v>608</v>
      </c>
      <c r="K242" s="157">
        <v>194.32345950960999</v>
      </c>
    </row>
    <row r="243" spans="1:11" x14ac:dyDescent="0.35">
      <c r="A243" s="154">
        <v>45384</v>
      </c>
      <c r="B243" s="156">
        <v>168.28538634231501</v>
      </c>
      <c r="C243" s="156">
        <v>164.75</v>
      </c>
      <c r="D243" s="156">
        <v>88.418939473587002</v>
      </c>
      <c r="E243" s="156">
        <v>119.139995472471</v>
      </c>
      <c r="F243" s="156">
        <v>416.92688638599998</v>
      </c>
      <c r="G243" s="156">
        <v>152.76961582720199</v>
      </c>
      <c r="H243" s="156">
        <v>483.33674424631101</v>
      </c>
      <c r="I243" s="156">
        <v>179.07000732421801</v>
      </c>
      <c r="J243" s="156">
        <v>611</v>
      </c>
      <c r="K243" s="157">
        <v>192.76881019511899</v>
      </c>
    </row>
    <row r="244" spans="1:11" x14ac:dyDescent="0.35">
      <c r="A244" s="154">
        <v>45385</v>
      </c>
      <c r="B244" s="156">
        <v>167.996732775629</v>
      </c>
      <c r="C244" s="156">
        <v>164.02000427246</v>
      </c>
      <c r="D244" s="156">
        <v>88.454938235132204</v>
      </c>
      <c r="E244" s="156">
        <v>121.171577905913</v>
      </c>
      <c r="F244" s="156">
        <v>416.54979735190301</v>
      </c>
      <c r="G244" s="156">
        <v>152.869150019166</v>
      </c>
      <c r="H244" s="156">
        <v>497.11646182444798</v>
      </c>
      <c r="I244" s="156">
        <v>179.89999389648401</v>
      </c>
      <c r="J244" s="156">
        <v>612.75</v>
      </c>
      <c r="K244" s="157">
        <v>193.40037398423399</v>
      </c>
    </row>
    <row r="245" spans="1:11" x14ac:dyDescent="0.35">
      <c r="A245" s="154">
        <v>45386</v>
      </c>
      <c r="B245" s="156">
        <v>169.489704253035</v>
      </c>
      <c r="C245" s="156">
        <v>170.07000732421801</v>
      </c>
      <c r="D245" s="156">
        <v>90.376298451170896</v>
      </c>
      <c r="E245" s="156">
        <v>118.148978636267</v>
      </c>
      <c r="F245" s="156">
        <v>421.76995150997101</v>
      </c>
      <c r="G245" s="156">
        <v>152.76962066607501</v>
      </c>
      <c r="H245" s="156">
        <v>514.54287465667699</v>
      </c>
      <c r="I245" s="156">
        <v>184</v>
      </c>
      <c r="J245" s="156">
        <v>633.21002197265602</v>
      </c>
      <c r="K245" s="157">
        <v>194.63599997393999</v>
      </c>
    </row>
    <row r="246" spans="1:11" x14ac:dyDescent="0.35">
      <c r="A246" s="154">
        <v>45387</v>
      </c>
      <c r="B246" s="156">
        <v>168.79296755478899</v>
      </c>
      <c r="C246" s="156">
        <v>169.08000183105401</v>
      </c>
      <c r="D246" s="156">
        <v>86.837464650495704</v>
      </c>
      <c r="E246" s="156">
        <v>115.55251267887</v>
      </c>
      <c r="F246" s="156">
        <v>416.82769746148603</v>
      </c>
      <c r="G246" s="156">
        <v>149.31611992588199</v>
      </c>
      <c r="H246" s="156">
        <v>514.98126979119002</v>
      </c>
      <c r="I246" s="156">
        <v>182.38000488281199</v>
      </c>
      <c r="J246" s="156">
        <v>624.91998291015602</v>
      </c>
      <c r="K246" s="157">
        <v>191.71379434845099</v>
      </c>
    </row>
    <row r="247" spans="1:11" x14ac:dyDescent="0.35">
      <c r="A247" s="154">
        <v>45390</v>
      </c>
      <c r="B247" s="156">
        <v>168.235616477946</v>
      </c>
      <c r="C247" s="156">
        <v>169.33999633789</v>
      </c>
      <c r="D247" s="156">
        <v>88.670856661222004</v>
      </c>
      <c r="E247" s="156">
        <v>116.959755559648</v>
      </c>
      <c r="F247" s="156">
        <v>421.94857772833399</v>
      </c>
      <c r="G247" s="156">
        <v>152.05303200364</v>
      </c>
      <c r="H247" s="156">
        <v>527.35618161876698</v>
      </c>
      <c r="I247" s="156">
        <v>186.89999389648401</v>
      </c>
      <c r="J247" s="156">
        <v>636.39001464843705</v>
      </c>
      <c r="K247" s="157">
        <v>193.14069353888601</v>
      </c>
    </row>
    <row r="248" spans="1:11" x14ac:dyDescent="0.35">
      <c r="A248" s="154">
        <v>45391</v>
      </c>
      <c r="B248" s="156">
        <v>167.90716183961601</v>
      </c>
      <c r="C248" s="156">
        <v>172.91000366210901</v>
      </c>
      <c r="D248" s="156">
        <v>87.413269610837503</v>
      </c>
      <c r="E248" s="156">
        <v>116.325506029422</v>
      </c>
      <c r="F248" s="156">
        <v>423.20896224870802</v>
      </c>
      <c r="G248" s="156">
        <v>155.347290614522</v>
      </c>
      <c r="H248" s="156">
        <v>520.33170008976799</v>
      </c>
      <c r="I248" s="156">
        <v>187.24000549316401</v>
      </c>
      <c r="J248" s="156">
        <v>631.989990234375</v>
      </c>
      <c r="K248" s="157">
        <v>193.58049558807201</v>
      </c>
    </row>
    <row r="249" spans="1:11" x14ac:dyDescent="0.35">
      <c r="A249" s="154">
        <v>45392</v>
      </c>
      <c r="B249" s="156">
        <v>168.00669616914101</v>
      </c>
      <c r="C249" s="156">
        <v>173.03999328613199</v>
      </c>
      <c r="D249" s="156">
        <v>83.898430246988099</v>
      </c>
      <c r="E249" s="156">
        <v>115.552518642346</v>
      </c>
      <c r="F249" s="156">
        <v>418.99113949287403</v>
      </c>
      <c r="G249" s="156">
        <v>155.466707897649</v>
      </c>
      <c r="H249" s="156">
        <v>507.43885377613202</v>
      </c>
      <c r="I249" s="156">
        <v>182.77000427246</v>
      </c>
      <c r="J249" s="156">
        <v>610.969970703125</v>
      </c>
      <c r="K249" s="157">
        <v>191.11760193521101</v>
      </c>
    </row>
    <row r="250" spans="1:11" x14ac:dyDescent="0.35">
      <c r="A250" s="154">
        <v>45393</v>
      </c>
      <c r="B250" s="156">
        <v>167.54886701375699</v>
      </c>
      <c r="C250" s="156">
        <v>172.55000305175699</v>
      </c>
      <c r="D250" s="156">
        <v>87.391278246871295</v>
      </c>
      <c r="E250" s="156">
        <v>116.533622057654</v>
      </c>
      <c r="F250" s="156">
        <v>422.59365417392797</v>
      </c>
      <c r="G250" s="156">
        <v>156.16338491032599</v>
      </c>
      <c r="H250" s="156">
        <v>519.21582543449597</v>
      </c>
      <c r="I250" s="156">
        <v>186.74000549316401</v>
      </c>
      <c r="J250" s="156">
        <v>624.41998291015602</v>
      </c>
      <c r="K250" s="157">
        <v>191.557423112658</v>
      </c>
    </row>
    <row r="251" spans="1:11" ht="15" thickBot="1" x14ac:dyDescent="0.4">
      <c r="A251" s="155">
        <v>45394</v>
      </c>
      <c r="B251" s="158">
        <v>173.44102962388999</v>
      </c>
      <c r="C251" s="158">
        <v>172.33999633789</v>
      </c>
      <c r="D251" s="158">
        <v>89.669539431112497</v>
      </c>
      <c r="E251" s="158">
        <v>115.344402843208</v>
      </c>
      <c r="F251" s="158">
        <v>420.83704242845101</v>
      </c>
      <c r="G251" s="158">
        <v>157.20840874623499</v>
      </c>
      <c r="H251" s="158">
        <v>515.86804876302403</v>
      </c>
      <c r="I251" s="158">
        <v>187.72000122070301</v>
      </c>
      <c r="J251" s="158">
        <v>628.22998046875</v>
      </c>
      <c r="K251" s="159">
        <v>184.05150485778401</v>
      </c>
    </row>
  </sheetData>
  <mergeCells count="1">
    <mergeCell ref="O2:R3"/>
  </mergeCells>
  <hyperlinks>
    <hyperlink ref="N5" r:id="rId1" xr:uid="{CDB83B80-37AC-447A-91D7-6AD4F760AD4C}"/>
    <hyperlink ref="N6" r:id="rId2" xr:uid="{6B06B24E-50D4-42AE-A049-3DFE3EF7905D}"/>
  </hyperlinks>
  <pageMargins left="0.7" right="0.7" top="0.75" bottom="0.75" header="0.3" footer="0.3"/>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3EE04-5BEA-49A1-ACA5-CBC39C039AD0}">
  <sheetPr codeName="Sheet21">
    <tabColor theme="7" tint="-0.249977111117893"/>
  </sheetPr>
  <dimension ref="B1:M24"/>
  <sheetViews>
    <sheetView workbookViewId="0">
      <selection activeCell="E2" sqref="E2:G3"/>
    </sheetView>
  </sheetViews>
  <sheetFormatPr defaultRowHeight="14.5" x14ac:dyDescent="0.35"/>
  <cols>
    <col min="2" max="2" width="15.453125" bestFit="1" customWidth="1"/>
    <col min="3" max="3" width="11.08984375" bestFit="1" customWidth="1"/>
    <col min="4" max="4" width="13.54296875" bestFit="1" customWidth="1"/>
    <col min="6" max="7" width="11.81640625" bestFit="1" customWidth="1"/>
    <col min="8" max="8" width="21.6328125" bestFit="1" customWidth="1"/>
    <col min="9" max="9" width="12" bestFit="1" customWidth="1"/>
    <col min="10" max="10" width="11.54296875" customWidth="1"/>
  </cols>
  <sheetData>
    <row r="1" spans="2:13" ht="15" thickBot="1" x14ac:dyDescent="0.4"/>
    <row r="2" spans="2:13" x14ac:dyDescent="0.35">
      <c r="E2" s="206" t="s">
        <v>132</v>
      </c>
      <c r="F2" s="207"/>
      <c r="G2" s="208"/>
      <c r="L2" t="s">
        <v>71</v>
      </c>
      <c r="M2" t="s">
        <v>75</v>
      </c>
    </row>
    <row r="3" spans="2:13" ht="15" thickBot="1" x14ac:dyDescent="0.4">
      <c r="E3" s="209"/>
      <c r="F3" s="210"/>
      <c r="G3" s="211"/>
      <c r="L3" t="s">
        <v>72</v>
      </c>
      <c r="M3" t="s">
        <v>75</v>
      </c>
    </row>
    <row r="5" spans="2:13" ht="15" thickBot="1" x14ac:dyDescent="0.4"/>
    <row r="6" spans="2:13" x14ac:dyDescent="0.35">
      <c r="B6" s="161" t="s">
        <v>70</v>
      </c>
      <c r="E6" s="164" t="s">
        <v>69</v>
      </c>
      <c r="F6" s="165" t="s">
        <v>74</v>
      </c>
      <c r="G6" s="165" t="s">
        <v>76</v>
      </c>
      <c r="H6" s="165" t="s">
        <v>77</v>
      </c>
      <c r="I6" s="165"/>
      <c r="J6" s="165"/>
      <c r="K6" s="165"/>
      <c r="L6" s="166"/>
    </row>
    <row r="7" spans="2:13" x14ac:dyDescent="0.35">
      <c r="B7" s="162">
        <f>2+3*E7</f>
        <v>8</v>
      </c>
      <c r="E7" s="37">
        <v>2</v>
      </c>
      <c r="F7" s="167">
        <f t="shared" ref="F7:F13" si="0">$B$17+$C$17*E7</f>
        <v>7.9999999999480496</v>
      </c>
      <c r="G7" s="167">
        <f t="shared" ref="G7:G13" si="1">B7-F7</f>
        <v>5.1950443946680025E-11</v>
      </c>
      <c r="H7" s="168">
        <f t="shared" ref="H7:H13" si="2">G7^2</f>
        <v>2.6988486262571432E-21</v>
      </c>
      <c r="I7" s="167"/>
      <c r="J7" s="167" t="s">
        <v>72</v>
      </c>
      <c r="K7" s="167" t="s">
        <v>71</v>
      </c>
      <c r="L7" s="169"/>
    </row>
    <row r="8" spans="2:13" x14ac:dyDescent="0.35">
      <c r="B8" s="162">
        <f t="shared" ref="B8:B13" si="3">2+3*E8</f>
        <v>14</v>
      </c>
      <c r="E8" s="37">
        <v>4</v>
      </c>
      <c r="F8" s="167">
        <f t="shared" si="0"/>
        <v>13.99999999989825</v>
      </c>
      <c r="G8" s="167">
        <f t="shared" si="1"/>
        <v>1.0174971976084635E-10</v>
      </c>
      <c r="H8" s="167">
        <f t="shared" si="2"/>
        <v>1.0353005471410766E-20</v>
      </c>
      <c r="I8" s="167" t="s">
        <v>78</v>
      </c>
      <c r="J8" s="168">
        <f t="array" ref="J8:L12">LINEST(B7:B13,E7:E13,TRUE,TRUE)</f>
        <v>3</v>
      </c>
      <c r="K8" s="167">
        <v>2</v>
      </c>
      <c r="L8" s="169" t="e">
        <v>#N/A</v>
      </c>
    </row>
    <row r="9" spans="2:13" x14ac:dyDescent="0.35">
      <c r="B9" s="162">
        <f t="shared" si="3"/>
        <v>23</v>
      </c>
      <c r="E9" s="37">
        <v>7</v>
      </c>
      <c r="F9" s="167">
        <f t="shared" si="0"/>
        <v>22.999999999823551</v>
      </c>
      <c r="G9" s="167">
        <f t="shared" si="1"/>
        <v>1.7644907757130568E-10</v>
      </c>
      <c r="H9" s="167">
        <f t="shared" si="2"/>
        <v>3.1134276975764649E-20</v>
      </c>
      <c r="I9" s="167" t="s">
        <v>79</v>
      </c>
      <c r="J9" s="167">
        <v>2.1743418025786549E-16</v>
      </c>
      <c r="K9" s="167">
        <v>2.2536564671597346E-15</v>
      </c>
      <c r="L9" s="169" t="e">
        <v>#N/A</v>
      </c>
    </row>
    <row r="10" spans="2:13" x14ac:dyDescent="0.35">
      <c r="B10" s="162">
        <f t="shared" si="3"/>
        <v>29</v>
      </c>
      <c r="E10" s="37">
        <v>9</v>
      </c>
      <c r="F10" s="167">
        <f t="shared" si="0"/>
        <v>28.999999999773749</v>
      </c>
      <c r="G10" s="167">
        <f t="shared" si="1"/>
        <v>2.262510179207311E-10</v>
      </c>
      <c r="H10" s="167">
        <f t="shared" si="2"/>
        <v>5.1189523110166986E-20</v>
      </c>
      <c r="I10" s="167" t="s">
        <v>81</v>
      </c>
      <c r="J10" s="167">
        <v>1</v>
      </c>
      <c r="K10" s="167">
        <v>2.808666774861361E-15</v>
      </c>
      <c r="L10" s="169" t="e">
        <v>#N/A</v>
      </c>
    </row>
    <row r="11" spans="2:13" x14ac:dyDescent="0.35">
      <c r="B11" s="162">
        <f t="shared" si="3"/>
        <v>38</v>
      </c>
      <c r="E11" s="37">
        <v>12</v>
      </c>
      <c r="F11" s="167">
        <f t="shared" si="0"/>
        <v>37.99999999969905</v>
      </c>
      <c r="G11" s="167">
        <f t="shared" si="1"/>
        <v>3.0095037573119043E-10</v>
      </c>
      <c r="H11" s="167">
        <f t="shared" si="2"/>
        <v>9.0571128652744696E-20</v>
      </c>
      <c r="I11" s="167"/>
      <c r="J11" s="167">
        <v>1.9036490156570211E+32</v>
      </c>
      <c r="K11" s="167">
        <v>5</v>
      </c>
      <c r="L11" s="169" t="e">
        <v>#N/A</v>
      </c>
    </row>
    <row r="12" spans="2:13" x14ac:dyDescent="0.35">
      <c r="B12" s="162">
        <f t="shared" si="3"/>
        <v>41</v>
      </c>
      <c r="E12" s="37">
        <v>13</v>
      </c>
      <c r="F12" s="167">
        <f t="shared" si="0"/>
        <v>40.999999999674145</v>
      </c>
      <c r="G12" s="167">
        <f t="shared" si="1"/>
        <v>3.2585489861958195E-10</v>
      </c>
      <c r="H12" s="167">
        <f t="shared" si="2"/>
        <v>1.0618141495437803E-19</v>
      </c>
      <c r="I12" s="167"/>
      <c r="J12" s="167">
        <v>1501.7142857142858</v>
      </c>
      <c r="K12" s="167">
        <v>3.944304526105059E-29</v>
      </c>
      <c r="L12" s="169" t="e">
        <v>#N/A</v>
      </c>
    </row>
    <row r="13" spans="2:13" ht="15" thickBot="1" x14ac:dyDescent="0.4">
      <c r="B13" s="163">
        <f t="shared" si="3"/>
        <v>53</v>
      </c>
      <c r="E13" s="37">
        <v>17</v>
      </c>
      <c r="F13" s="167">
        <f t="shared" si="0"/>
        <v>52.999999999574548</v>
      </c>
      <c r="G13" s="167">
        <f t="shared" si="1"/>
        <v>4.2545167389107519E-10</v>
      </c>
      <c r="H13" s="167">
        <f t="shared" si="2"/>
        <v>1.8100912681671779E-19</v>
      </c>
      <c r="I13" s="167"/>
      <c r="J13" s="167"/>
      <c r="K13" s="167"/>
      <c r="L13" s="169"/>
    </row>
    <row r="14" spans="2:13" ht="15" thickBot="1" x14ac:dyDescent="0.4">
      <c r="E14" s="10"/>
      <c r="I14" s="170" t="s">
        <v>80</v>
      </c>
      <c r="J14" s="171">
        <f>J8/J9</f>
        <v>1.37972787739359E+16</v>
      </c>
      <c r="K14" s="172">
        <f>K8/K9</f>
        <v>887446702345271</v>
      </c>
      <c r="L14" s="11"/>
    </row>
    <row r="15" spans="2:13" ht="15" thickBot="1" x14ac:dyDescent="0.4">
      <c r="B15" s="174" t="s">
        <v>73</v>
      </c>
      <c r="C15" s="18"/>
      <c r="E15" s="12"/>
      <c r="F15" s="5"/>
      <c r="G15" s="5"/>
      <c r="H15" s="173">
        <f>SUM(H7:H13)</f>
        <v>4.7313732460744006E-19</v>
      </c>
      <c r="I15" s="5"/>
      <c r="J15" s="160"/>
      <c r="K15" s="5"/>
      <c r="L15" s="13"/>
    </row>
    <row r="16" spans="2:13" x14ac:dyDescent="0.35">
      <c r="B16" s="37" t="s">
        <v>71</v>
      </c>
      <c r="C16" s="169" t="s">
        <v>72</v>
      </c>
    </row>
    <row r="17" spans="2:10" ht="15" thickBot="1" x14ac:dyDescent="0.4">
      <c r="B17" s="175">
        <v>1.9999999999978499</v>
      </c>
      <c r="C17" s="176">
        <v>2.9999999999750999</v>
      </c>
    </row>
    <row r="18" spans="2:10" ht="15" thickBot="1" x14ac:dyDescent="0.4"/>
    <row r="19" spans="2:10" x14ac:dyDescent="0.35">
      <c r="B19" s="177"/>
      <c r="C19" s="178" t="s">
        <v>98</v>
      </c>
      <c r="D19" s="178" t="s">
        <v>87</v>
      </c>
      <c r="E19" s="178" t="s">
        <v>99</v>
      </c>
      <c r="F19" s="178" t="s">
        <v>100</v>
      </c>
      <c r="G19" s="178" t="s">
        <v>101</v>
      </c>
      <c r="H19" s="178" t="s">
        <v>102</v>
      </c>
      <c r="I19" s="178" t="s">
        <v>103</v>
      </c>
      <c r="J19" s="179" t="s">
        <v>104</v>
      </c>
    </row>
    <row r="20" spans="2:10" x14ac:dyDescent="0.35">
      <c r="B20" s="180" t="s">
        <v>71</v>
      </c>
      <c r="C20" s="76">
        <v>2</v>
      </c>
      <c r="D20" s="76">
        <v>2.2536564671597346E-15</v>
      </c>
      <c r="E20" s="76">
        <v>887446702345271</v>
      </c>
      <c r="F20" s="76">
        <v>3.4482001147436765E-74</v>
      </c>
      <c r="G20" s="76">
        <v>1.9999999999999942</v>
      </c>
      <c r="H20" s="76">
        <v>2.0000000000000058</v>
      </c>
      <c r="I20" s="76">
        <v>1.9999999999999942</v>
      </c>
      <c r="J20" s="77">
        <v>2.0000000000000058</v>
      </c>
    </row>
    <row r="21" spans="2:10" ht="15" thickBot="1" x14ac:dyDescent="0.4">
      <c r="B21" s="181" t="s">
        <v>72</v>
      </c>
      <c r="C21" s="80">
        <v>3</v>
      </c>
      <c r="D21" s="80">
        <v>2.1743418025786549E-16</v>
      </c>
      <c r="E21" s="80">
        <v>1.37972787739359E+16</v>
      </c>
      <c r="F21" s="80">
        <v>3.7960914409543638E-80</v>
      </c>
      <c r="G21" s="80">
        <v>2.9999999999999996</v>
      </c>
      <c r="H21" s="80">
        <v>3.0000000000000004</v>
      </c>
      <c r="I21" s="80">
        <v>2.9999999999999996</v>
      </c>
      <c r="J21" s="129">
        <v>3.0000000000000004</v>
      </c>
    </row>
    <row r="22" spans="2:10" ht="15" thickBot="1" x14ac:dyDescent="0.4"/>
    <row r="23" spans="2:10" x14ac:dyDescent="0.35">
      <c r="D23" s="182">
        <f>C20/D20</f>
        <v>887446702345271</v>
      </c>
    </row>
    <row r="24" spans="2:10" ht="15" thickBot="1" x14ac:dyDescent="0.4">
      <c r="D24" s="183">
        <f>C21/D21</f>
        <v>1.37972787739359E+16</v>
      </c>
    </row>
  </sheetData>
  <mergeCells count="1">
    <mergeCell ref="E2:G3"/>
  </mergeCell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50F7B6-849C-40CD-9E2C-60B54F5739F5}">
  <sheetPr codeName="Sheet22">
    <tabColor theme="7" tint="-0.249977111117893"/>
  </sheetPr>
  <dimension ref="A1:I18"/>
  <sheetViews>
    <sheetView workbookViewId="0"/>
  </sheetViews>
  <sheetFormatPr defaultRowHeight="14.5" x14ac:dyDescent="0.35"/>
  <cols>
    <col min="1" max="1" width="17.26953125" bestFit="1" customWidth="1"/>
    <col min="5" max="5" width="11.81640625" bestFit="1" customWidth="1"/>
  </cols>
  <sheetData>
    <row r="1" spans="1:9" ht="15" thickBot="1" x14ac:dyDescent="0.4">
      <c r="A1" s="105" t="s">
        <v>82</v>
      </c>
    </row>
    <row r="2" spans="1:9" ht="15" thickBot="1" x14ac:dyDescent="0.4"/>
    <row r="3" spans="1:9" x14ac:dyDescent="0.35">
      <c r="A3" s="8" t="s">
        <v>83</v>
      </c>
      <c r="B3" s="9"/>
    </row>
    <row r="4" spans="1:9" x14ac:dyDescent="0.35">
      <c r="A4" s="10" t="s">
        <v>84</v>
      </c>
      <c r="B4" s="11">
        <v>1</v>
      </c>
    </row>
    <row r="5" spans="1:9" x14ac:dyDescent="0.35">
      <c r="A5" s="10" t="s">
        <v>85</v>
      </c>
      <c r="B5" s="11">
        <v>1</v>
      </c>
    </row>
    <row r="6" spans="1:9" x14ac:dyDescent="0.35">
      <c r="A6" s="10" t="s">
        <v>86</v>
      </c>
      <c r="B6" s="11">
        <v>1</v>
      </c>
    </row>
    <row r="7" spans="1:9" x14ac:dyDescent="0.35">
      <c r="A7" s="10" t="s">
        <v>87</v>
      </c>
      <c r="B7" s="11">
        <v>2.808666774861361E-15</v>
      </c>
    </row>
    <row r="8" spans="1:9" ht="15" thickBot="1" x14ac:dyDescent="0.4">
      <c r="A8" s="12" t="s">
        <v>88</v>
      </c>
      <c r="B8" s="13">
        <v>7</v>
      </c>
    </row>
    <row r="10" spans="1:9" ht="15" thickBot="1" x14ac:dyDescent="0.4">
      <c r="A10" t="s">
        <v>89</v>
      </c>
    </row>
    <row r="11" spans="1:9" x14ac:dyDescent="0.35">
      <c r="A11" s="14"/>
      <c r="B11" s="6" t="s">
        <v>94</v>
      </c>
      <c r="C11" s="6" t="s">
        <v>95</v>
      </c>
      <c r="D11" s="6" t="s">
        <v>96</v>
      </c>
      <c r="E11" s="6" t="s">
        <v>51</v>
      </c>
      <c r="F11" s="15" t="s">
        <v>97</v>
      </c>
    </row>
    <row r="12" spans="1:9" x14ac:dyDescent="0.35">
      <c r="A12" s="10" t="s">
        <v>90</v>
      </c>
      <c r="B12">
        <v>1</v>
      </c>
      <c r="C12">
        <v>1501.7142857142858</v>
      </c>
      <c r="D12">
        <v>1501.7142857142858</v>
      </c>
      <c r="E12">
        <v>1.9036490156570211E+32</v>
      </c>
      <c r="F12" s="11">
        <v>3.7960914409543638E-80</v>
      </c>
    </row>
    <row r="13" spans="1:9" x14ac:dyDescent="0.35">
      <c r="A13" s="10" t="s">
        <v>91</v>
      </c>
      <c r="B13">
        <v>5</v>
      </c>
      <c r="C13">
        <v>3.944304526105059E-29</v>
      </c>
      <c r="D13">
        <v>7.8886090522101181E-30</v>
      </c>
      <c r="F13" s="11"/>
    </row>
    <row r="14" spans="1:9" ht="15" thickBot="1" x14ac:dyDescent="0.4">
      <c r="A14" s="12" t="s">
        <v>92</v>
      </c>
      <c r="B14" s="5">
        <v>6</v>
      </c>
      <c r="C14" s="5">
        <v>1501.7142857142858</v>
      </c>
      <c r="D14" s="5"/>
      <c r="E14" s="5"/>
      <c r="F14" s="13"/>
    </row>
    <row r="15" spans="1:9" ht="15" thickBot="1" x14ac:dyDescent="0.4"/>
    <row r="16" spans="1:9" x14ac:dyDescent="0.35">
      <c r="A16" s="14"/>
      <c r="B16" s="6" t="s">
        <v>98</v>
      </c>
      <c r="C16" s="6" t="s">
        <v>87</v>
      </c>
      <c r="D16" s="6" t="s">
        <v>99</v>
      </c>
      <c r="E16" s="6" t="s">
        <v>100</v>
      </c>
      <c r="F16" s="6" t="s">
        <v>101</v>
      </c>
      <c r="G16" s="6" t="s">
        <v>102</v>
      </c>
      <c r="H16" s="6" t="s">
        <v>103</v>
      </c>
      <c r="I16" s="15" t="s">
        <v>104</v>
      </c>
    </row>
    <row r="17" spans="1:9" x14ac:dyDescent="0.35">
      <c r="A17" s="10" t="s">
        <v>93</v>
      </c>
      <c r="B17">
        <v>2</v>
      </c>
      <c r="C17">
        <v>2.2536564671597346E-15</v>
      </c>
      <c r="D17">
        <v>887446702345271</v>
      </c>
      <c r="E17">
        <v>3.4482001147436765E-74</v>
      </c>
      <c r="F17">
        <v>1.9999999999999942</v>
      </c>
      <c r="G17">
        <v>2.0000000000000058</v>
      </c>
      <c r="H17">
        <v>1.9999999999999942</v>
      </c>
      <c r="I17" s="11">
        <v>2.0000000000000058</v>
      </c>
    </row>
    <row r="18" spans="1:9" ht="15" thickBot="1" x14ac:dyDescent="0.4">
      <c r="A18" s="12" t="s">
        <v>70</v>
      </c>
      <c r="B18" s="5">
        <v>3</v>
      </c>
      <c r="C18" s="5">
        <v>2.1743418025786549E-16</v>
      </c>
      <c r="D18" s="5">
        <v>1.37972787739359E+16</v>
      </c>
      <c r="E18" s="5">
        <v>3.7960914409543638E-80</v>
      </c>
      <c r="F18" s="5">
        <v>2.9999999999999996</v>
      </c>
      <c r="G18" s="5">
        <v>3.0000000000000004</v>
      </c>
      <c r="H18" s="5">
        <v>2.9999999999999996</v>
      </c>
      <c r="I18" s="13">
        <v>3.0000000000000004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D04CC-B879-4D76-BE73-9E4D7B543346}">
  <sheetPr codeName="Sheet23">
    <tabColor theme="7" tint="-0.249977111117893"/>
  </sheetPr>
  <dimension ref="B1:I29"/>
  <sheetViews>
    <sheetView workbookViewId="0">
      <selection activeCell="E2" sqref="E2:G3"/>
    </sheetView>
  </sheetViews>
  <sheetFormatPr defaultRowHeight="14.5" x14ac:dyDescent="0.35"/>
  <sheetData>
    <row r="1" spans="2:9" ht="15" thickBot="1" x14ac:dyDescent="0.4"/>
    <row r="2" spans="2:9" x14ac:dyDescent="0.35">
      <c r="E2" s="206" t="s">
        <v>133</v>
      </c>
      <c r="F2" s="207"/>
      <c r="G2" s="208"/>
    </row>
    <row r="3" spans="2:9" ht="15" thickBot="1" x14ac:dyDescent="0.4">
      <c r="E3" s="209"/>
      <c r="F3" s="210"/>
      <c r="G3" s="211"/>
    </row>
    <row r="5" spans="2:9" ht="15" thickBot="1" x14ac:dyDescent="0.4"/>
    <row r="6" spans="2:9" x14ac:dyDescent="0.35">
      <c r="B6" s="184" t="s">
        <v>70</v>
      </c>
      <c r="C6" s="185" t="s">
        <v>69</v>
      </c>
      <c r="D6" s="185"/>
      <c r="E6" s="185" t="s">
        <v>71</v>
      </c>
      <c r="F6" s="185" t="s">
        <v>72</v>
      </c>
      <c r="G6" s="185" t="s">
        <v>74</v>
      </c>
      <c r="H6" s="185" t="s">
        <v>76</v>
      </c>
      <c r="I6" s="186" t="s">
        <v>77</v>
      </c>
    </row>
    <row r="7" spans="2:9" x14ac:dyDescent="0.35">
      <c r="B7" s="187">
        <v>7.5</v>
      </c>
      <c r="C7" s="156">
        <v>2</v>
      </c>
      <c r="D7" s="156"/>
      <c r="E7" s="156">
        <v>1.7020547703820268</v>
      </c>
      <c r="F7" s="156">
        <v>3.0599306609792629</v>
      </c>
      <c r="G7" s="156">
        <f>$E$7+$F$7*C7</f>
        <v>7.8219160923405529</v>
      </c>
      <c r="H7" s="156">
        <f>B7-G7</f>
        <v>-0.32191609234055285</v>
      </c>
      <c r="I7" s="157">
        <f>H7^2</f>
        <v>0.10362997050781135</v>
      </c>
    </row>
    <row r="8" spans="2:9" x14ac:dyDescent="0.35">
      <c r="B8" s="187">
        <v>14</v>
      </c>
      <c r="C8" s="156">
        <v>4</v>
      </c>
      <c r="D8" s="156"/>
      <c r="E8" s="156"/>
      <c r="F8" s="156"/>
      <c r="G8" s="156">
        <f t="shared" ref="G8:G13" si="0">$E$7+$F$7*C8</f>
        <v>13.941777414299079</v>
      </c>
      <c r="H8" s="156">
        <f t="shared" ref="H8:H13" si="1">B8-G8</f>
        <v>5.8222585700921314E-2</v>
      </c>
      <c r="I8" s="157">
        <f t="shared" ref="I8:I13" si="2">H8^2</f>
        <v>3.3898694857011271E-3</v>
      </c>
    </row>
    <row r="9" spans="2:9" x14ac:dyDescent="0.35">
      <c r="B9" s="187">
        <v>23.25</v>
      </c>
      <c r="C9" s="156">
        <v>7</v>
      </c>
      <c r="D9" s="156"/>
      <c r="E9" s="156"/>
      <c r="F9" s="156"/>
      <c r="G9" s="156">
        <f t="shared" si="0"/>
        <v>23.121569397236868</v>
      </c>
      <c r="H9" s="156">
        <f t="shared" si="1"/>
        <v>0.12843060276313167</v>
      </c>
      <c r="I9" s="157">
        <f t="shared" si="2"/>
        <v>1.6494419726101325E-2</v>
      </c>
    </row>
    <row r="10" spans="2:9" x14ac:dyDescent="0.35">
      <c r="B10" s="187">
        <v>29</v>
      </c>
      <c r="C10" s="156">
        <v>9</v>
      </c>
      <c r="D10" s="156"/>
      <c r="E10" s="156"/>
      <c r="F10" s="156"/>
      <c r="G10" s="156">
        <f t="shared" si="0"/>
        <v>29.241430719195392</v>
      </c>
      <c r="H10" s="156">
        <f t="shared" si="1"/>
        <v>-0.24143071919539238</v>
      </c>
      <c r="I10" s="157">
        <f t="shared" si="2"/>
        <v>5.8288792171204411E-2</v>
      </c>
    </row>
    <row r="11" spans="2:9" x14ac:dyDescent="0.35">
      <c r="B11" s="187">
        <v>39.75</v>
      </c>
      <c r="C11" s="156">
        <v>12</v>
      </c>
      <c r="D11" s="156"/>
      <c r="E11" s="156"/>
      <c r="F11" s="156"/>
      <c r="G11" s="156">
        <f t="shared" si="0"/>
        <v>38.421222702133186</v>
      </c>
      <c r="H11" s="156">
        <f t="shared" si="1"/>
        <v>1.3287772978668144</v>
      </c>
      <c r="I11" s="157">
        <f t="shared" si="2"/>
        <v>1.7656491073262328</v>
      </c>
    </row>
    <row r="12" spans="2:9" x14ac:dyDescent="0.35">
      <c r="B12" s="187">
        <v>41</v>
      </c>
      <c r="C12" s="156">
        <v>13</v>
      </c>
      <c r="D12" s="156"/>
      <c r="E12" s="156"/>
      <c r="F12" s="156"/>
      <c r="G12" s="156">
        <f t="shared" si="0"/>
        <v>41.481153363112448</v>
      </c>
      <c r="H12" s="156">
        <f t="shared" si="1"/>
        <v>-0.48115336311244761</v>
      </c>
      <c r="I12" s="157">
        <f t="shared" si="2"/>
        <v>0.23150855883441887</v>
      </c>
    </row>
    <row r="13" spans="2:9" x14ac:dyDescent="0.35">
      <c r="B13" s="187">
        <v>53.25</v>
      </c>
      <c r="C13" s="156">
        <v>17</v>
      </c>
      <c r="D13" s="156"/>
      <c r="E13" s="156"/>
      <c r="F13" s="156"/>
      <c r="G13" s="156">
        <f t="shared" si="0"/>
        <v>53.720876007029496</v>
      </c>
      <c r="H13" s="156">
        <f t="shared" si="1"/>
        <v>-0.47087600702949572</v>
      </c>
      <c r="I13" s="157">
        <f t="shared" si="2"/>
        <v>0.2217242139960417</v>
      </c>
    </row>
    <row r="14" spans="2:9" ht="15" thickBot="1" x14ac:dyDescent="0.4">
      <c r="B14" s="187"/>
      <c r="C14" s="156"/>
      <c r="D14" s="156"/>
      <c r="E14" s="156"/>
      <c r="F14" s="156"/>
      <c r="G14" s="156"/>
      <c r="H14" s="156"/>
      <c r="I14" s="157"/>
    </row>
    <row r="15" spans="2:9" ht="15" thickBot="1" x14ac:dyDescent="0.4">
      <c r="B15" s="188"/>
      <c r="C15" s="158"/>
      <c r="D15" s="158"/>
      <c r="E15" s="158"/>
      <c r="F15" s="158"/>
      <c r="G15" s="158"/>
      <c r="H15" s="158"/>
      <c r="I15" s="189">
        <f>SUM(I7:I13)</f>
        <v>2.4006849320475117</v>
      </c>
    </row>
    <row r="17" spans="2:7" ht="15" thickBot="1" x14ac:dyDescent="0.4"/>
    <row r="18" spans="2:7" x14ac:dyDescent="0.35">
      <c r="B18" s="184" t="s">
        <v>70</v>
      </c>
      <c r="C18" s="185" t="s">
        <v>69</v>
      </c>
      <c r="D18" s="185"/>
      <c r="E18" s="185"/>
      <c r="F18" s="185"/>
      <c r="G18" s="186"/>
    </row>
    <row r="19" spans="2:7" x14ac:dyDescent="0.35">
      <c r="B19" s="187">
        <v>7.5</v>
      </c>
      <c r="C19" s="156">
        <v>2</v>
      </c>
      <c r="D19" s="156"/>
      <c r="E19" s="156">
        <f t="array" ref="E19:G24">LINEST(B19:B25,C19:C25,TRUE,TRUE)</f>
        <v>3.0599315068493147</v>
      </c>
      <c r="F19" s="156">
        <v>1.7020547945205529</v>
      </c>
      <c r="G19" s="157" t="e">
        <v>#N/A</v>
      </c>
    </row>
    <row r="20" spans="2:7" x14ac:dyDescent="0.35">
      <c r="B20" s="187">
        <v>14</v>
      </c>
      <c r="C20" s="156">
        <v>4</v>
      </c>
      <c r="D20" s="156"/>
      <c r="E20" s="156">
        <v>5.3642644494031132E-2</v>
      </c>
      <c r="F20" s="156">
        <v>0.55599396808796187</v>
      </c>
      <c r="G20" s="157" t="e">
        <v>#N/A</v>
      </c>
    </row>
    <row r="21" spans="2:7" x14ac:dyDescent="0.35">
      <c r="B21" s="187">
        <v>23.25</v>
      </c>
      <c r="C21" s="156">
        <v>7</v>
      </c>
      <c r="D21" s="156"/>
      <c r="E21" s="156">
        <v>0.99846573591522425</v>
      </c>
      <c r="F21" s="156">
        <v>0.69291917732255803</v>
      </c>
      <c r="G21" s="157" t="e">
        <v>#N/A</v>
      </c>
    </row>
    <row r="22" spans="2:7" x14ac:dyDescent="0.35">
      <c r="B22" s="187">
        <v>29</v>
      </c>
      <c r="C22" s="156">
        <v>9</v>
      </c>
      <c r="D22" s="156"/>
      <c r="E22" s="156">
        <v>3253.8913796617021</v>
      </c>
      <c r="F22" s="156">
        <v>5</v>
      </c>
      <c r="G22" s="157" t="e">
        <v>#N/A</v>
      </c>
    </row>
    <row r="23" spans="2:7" x14ac:dyDescent="0.35">
      <c r="B23" s="187">
        <v>39.75</v>
      </c>
      <c r="C23" s="156">
        <v>12</v>
      </c>
      <c r="D23" s="156"/>
      <c r="E23" s="156">
        <v>1562.3136007827788</v>
      </c>
      <c r="F23" s="156">
        <v>2.4006849315068535</v>
      </c>
      <c r="G23" s="157" t="e">
        <v>#N/A</v>
      </c>
    </row>
    <row r="24" spans="2:7" x14ac:dyDescent="0.35">
      <c r="B24" s="187">
        <v>41</v>
      </c>
      <c r="C24" s="156">
        <v>13</v>
      </c>
      <c r="D24" s="156"/>
      <c r="E24" s="156" t="e">
        <v>#N/A</v>
      </c>
      <c r="F24" s="156" t="e">
        <v>#N/A</v>
      </c>
      <c r="G24" s="157" t="e">
        <v>#N/A</v>
      </c>
    </row>
    <row r="25" spans="2:7" ht="15" thickBot="1" x14ac:dyDescent="0.4">
      <c r="B25" s="188">
        <v>53.25</v>
      </c>
      <c r="C25" s="158">
        <v>17</v>
      </c>
      <c r="D25" s="158"/>
      <c r="E25" s="158"/>
      <c r="F25" s="158"/>
      <c r="G25" s="159"/>
    </row>
    <row r="26" spans="2:7" ht="15" thickBot="1" x14ac:dyDescent="0.4"/>
    <row r="27" spans="2:7" x14ac:dyDescent="0.35">
      <c r="B27" s="192" t="s">
        <v>105</v>
      </c>
      <c r="C27" s="186"/>
    </row>
    <row r="28" spans="2:7" x14ac:dyDescent="0.35">
      <c r="B28" s="190" t="s">
        <v>71</v>
      </c>
      <c r="C28" s="191" t="s">
        <v>72</v>
      </c>
    </row>
    <row r="29" spans="2:7" ht="15" thickBot="1" x14ac:dyDescent="0.4">
      <c r="B29" s="188">
        <v>1.7020547703820268</v>
      </c>
      <c r="C29" s="159">
        <v>3.0599306609792629</v>
      </c>
    </row>
  </sheetData>
  <mergeCells count="1">
    <mergeCell ref="E2:G3"/>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31405-0B20-4ED8-8541-F6B9446C7759}">
  <sheetPr codeName="Sheet24">
    <tabColor rgb="FF92D050"/>
  </sheetPr>
  <dimension ref="A1:P102"/>
  <sheetViews>
    <sheetView zoomScale="92" workbookViewId="0">
      <selection activeCell="G4" sqref="G4"/>
    </sheetView>
  </sheetViews>
  <sheetFormatPr defaultRowHeight="14.5" x14ac:dyDescent="0.35"/>
  <cols>
    <col min="1" max="1" width="16.90625" bestFit="1" customWidth="1"/>
    <col min="2" max="2" width="10.453125" bestFit="1" customWidth="1"/>
    <col min="3" max="3" width="14.54296875" bestFit="1" customWidth="1"/>
    <col min="4" max="4" width="12" bestFit="1" customWidth="1"/>
    <col min="5" max="5" width="19.6328125" bestFit="1" customWidth="1"/>
    <col min="7" max="7" width="18.08984375" bestFit="1" customWidth="1"/>
    <col min="8" max="8" width="16.453125" bestFit="1" customWidth="1"/>
    <col min="12" max="12" width="11.81640625" bestFit="1" customWidth="1"/>
  </cols>
  <sheetData>
    <row r="1" spans="1:13" ht="15" thickBot="1" x14ac:dyDescent="0.4">
      <c r="A1" s="193" t="s">
        <v>111</v>
      </c>
      <c r="B1" s="194" t="s">
        <v>108</v>
      </c>
      <c r="C1" s="195" t="s">
        <v>109</v>
      </c>
      <c r="D1" s="195" t="s">
        <v>110</v>
      </c>
      <c r="E1" s="196" t="s">
        <v>112</v>
      </c>
      <c r="I1" s="7"/>
      <c r="J1" s="7"/>
      <c r="K1" s="7"/>
    </row>
    <row r="2" spans="1:13" ht="15" thickBot="1" x14ac:dyDescent="0.4">
      <c r="A2" s="197">
        <v>5.8</v>
      </c>
      <c r="B2" s="198">
        <v>32051</v>
      </c>
      <c r="C2" s="199">
        <v>7.2900000000000006E-2</v>
      </c>
      <c r="D2" s="199">
        <v>4.3557168784029009E-2</v>
      </c>
      <c r="E2" s="86">
        <f t="shared" ref="E2:E65" si="0">A2/100</f>
        <v>5.7999999999999996E-2</v>
      </c>
      <c r="H2" s="123" t="s">
        <v>82</v>
      </c>
      <c r="I2" s="124" t="s">
        <v>113</v>
      </c>
      <c r="J2" s="124"/>
      <c r="K2" s="125"/>
    </row>
    <row r="3" spans="1:13" ht="15" thickBot="1" x14ac:dyDescent="0.4">
      <c r="A3" s="197">
        <v>5.7</v>
      </c>
      <c r="B3" s="198">
        <v>32143</v>
      </c>
      <c r="C3" s="199">
        <v>6.83E-2</v>
      </c>
      <c r="D3" s="199">
        <v>4.1292639138240522E-2</v>
      </c>
      <c r="E3" s="86">
        <f t="shared" si="0"/>
        <v>5.7000000000000002E-2</v>
      </c>
    </row>
    <row r="4" spans="1:13" x14ac:dyDescent="0.35">
      <c r="A4" s="197">
        <v>5.5</v>
      </c>
      <c r="B4" s="198">
        <v>32234</v>
      </c>
      <c r="C4" s="199">
        <v>6.8699999999999997E-2</v>
      </c>
      <c r="D4" s="199">
        <v>3.9929015084294583E-2</v>
      </c>
      <c r="E4" s="86">
        <f t="shared" si="0"/>
        <v>5.5E-2</v>
      </c>
      <c r="H4" s="8" t="s">
        <v>83</v>
      </c>
      <c r="I4" s="9"/>
    </row>
    <row r="5" spans="1:13" x14ac:dyDescent="0.35">
      <c r="A5" s="197">
        <v>5.5</v>
      </c>
      <c r="B5" s="198">
        <v>32325</v>
      </c>
      <c r="C5" s="199">
        <v>7.7499999999999999E-2</v>
      </c>
      <c r="D5" s="199">
        <v>4.1300527240773315E-2</v>
      </c>
      <c r="E5" s="86">
        <f t="shared" si="0"/>
        <v>5.5E-2</v>
      </c>
      <c r="H5" s="10" t="s">
        <v>84</v>
      </c>
      <c r="I5" s="11">
        <v>0.74512238367182582</v>
      </c>
    </row>
    <row r="6" spans="1:13" x14ac:dyDescent="0.35">
      <c r="A6" s="197">
        <v>5.3</v>
      </c>
      <c r="B6" s="198">
        <v>32417</v>
      </c>
      <c r="C6" s="199">
        <v>8.3000000000000004E-2</v>
      </c>
      <c r="D6" s="199">
        <v>4.2608695652173963E-2</v>
      </c>
      <c r="E6" s="86">
        <f t="shared" si="0"/>
        <v>5.2999999999999999E-2</v>
      </c>
      <c r="H6" s="10" t="s">
        <v>85</v>
      </c>
      <c r="I6" s="11">
        <v>0.55520736664878356</v>
      </c>
    </row>
    <row r="7" spans="1:13" x14ac:dyDescent="0.35">
      <c r="A7" s="197">
        <v>5.2</v>
      </c>
      <c r="B7" s="198">
        <v>32509</v>
      </c>
      <c r="C7" s="199">
        <v>9.1199999999999989E-2</v>
      </c>
      <c r="D7" s="199">
        <v>4.4827586206896579E-2</v>
      </c>
      <c r="E7" s="86">
        <f t="shared" si="0"/>
        <v>5.2000000000000005E-2</v>
      </c>
      <c r="H7" s="10" t="s">
        <v>86</v>
      </c>
      <c r="I7" s="11">
        <v>0.5431859441257777</v>
      </c>
    </row>
    <row r="8" spans="1:13" x14ac:dyDescent="0.35">
      <c r="A8" s="197">
        <v>5.2</v>
      </c>
      <c r="B8" s="198">
        <v>32599</v>
      </c>
      <c r="C8" s="199">
        <v>9.8400000000000001E-2</v>
      </c>
      <c r="D8" s="199">
        <v>5.0341296928327568E-2</v>
      </c>
      <c r="E8" s="86">
        <f t="shared" si="0"/>
        <v>5.2000000000000005E-2</v>
      </c>
      <c r="H8" s="10" t="s">
        <v>87</v>
      </c>
      <c r="I8" s="11">
        <v>1.5001164598023684E-2</v>
      </c>
    </row>
    <row r="9" spans="1:13" ht="15" thickBot="1" x14ac:dyDescent="0.4">
      <c r="A9" s="197">
        <v>5.2</v>
      </c>
      <c r="B9" s="198">
        <v>32690</v>
      </c>
      <c r="C9" s="199">
        <v>9.2399999999999996E-2</v>
      </c>
      <c r="D9" s="199">
        <v>5.0632911392405063E-2</v>
      </c>
      <c r="E9" s="86">
        <f t="shared" si="0"/>
        <v>5.2000000000000005E-2</v>
      </c>
      <c r="H9" s="12" t="s">
        <v>88</v>
      </c>
      <c r="I9" s="13">
        <v>77</v>
      </c>
    </row>
    <row r="10" spans="1:13" x14ac:dyDescent="0.35">
      <c r="A10" s="197">
        <v>5.4</v>
      </c>
      <c r="B10" s="198">
        <v>32782</v>
      </c>
      <c r="C10" s="199">
        <v>8.8399999999999992E-2</v>
      </c>
      <c r="D10" s="199">
        <v>4.5871559633027519E-2</v>
      </c>
      <c r="E10" s="86">
        <f t="shared" si="0"/>
        <v>5.4000000000000006E-2</v>
      </c>
    </row>
    <row r="11" spans="1:13" ht="15" thickBot="1" x14ac:dyDescent="0.4">
      <c r="A11" s="197">
        <v>5.3</v>
      </c>
      <c r="B11" s="198">
        <v>32874</v>
      </c>
      <c r="C11" s="199">
        <v>8.2299999999999998E-2</v>
      </c>
      <c r="D11" s="199">
        <v>5.1980198019801957E-2</v>
      </c>
      <c r="E11" s="86">
        <f t="shared" si="0"/>
        <v>5.2999999999999999E-2</v>
      </c>
      <c r="H11" t="s">
        <v>89</v>
      </c>
    </row>
    <row r="12" spans="1:13" x14ac:dyDescent="0.35">
      <c r="A12" s="197">
        <v>5.3</v>
      </c>
      <c r="B12" s="198">
        <v>32964</v>
      </c>
      <c r="C12" s="199">
        <v>8.2599999999999993E-2</v>
      </c>
      <c r="D12" s="199">
        <v>4.7116165718927794E-2</v>
      </c>
      <c r="E12" s="86">
        <f t="shared" si="0"/>
        <v>5.2999999999999999E-2</v>
      </c>
      <c r="H12" s="14"/>
      <c r="I12" s="6" t="s">
        <v>94</v>
      </c>
      <c r="J12" s="6" t="s">
        <v>95</v>
      </c>
      <c r="K12" s="6" t="s">
        <v>96</v>
      </c>
      <c r="L12" s="6" t="s">
        <v>51</v>
      </c>
      <c r="M12" s="15" t="s">
        <v>97</v>
      </c>
    </row>
    <row r="13" spans="1:13" x14ac:dyDescent="0.35">
      <c r="A13" s="197">
        <v>5.7</v>
      </c>
      <c r="B13" s="198">
        <v>33055</v>
      </c>
      <c r="C13" s="199">
        <v>8.1500000000000003E-2</v>
      </c>
      <c r="D13" s="199">
        <v>4.8192771084337352E-2</v>
      </c>
      <c r="E13" s="86">
        <f t="shared" si="0"/>
        <v>5.7000000000000002E-2</v>
      </c>
      <c r="H13" s="10" t="s">
        <v>90</v>
      </c>
      <c r="I13">
        <v>2</v>
      </c>
      <c r="J13">
        <v>2.0786401245268819E-2</v>
      </c>
      <c r="K13">
        <v>1.0393200622634409E-2</v>
      </c>
      <c r="L13">
        <v>46.184830920489006</v>
      </c>
      <c r="M13" s="11">
        <v>9.5902665190958771E-14</v>
      </c>
    </row>
    <row r="14" spans="1:13" x14ac:dyDescent="0.35">
      <c r="A14" s="197">
        <v>6.1</v>
      </c>
      <c r="B14" s="198">
        <v>33147</v>
      </c>
      <c r="C14" s="199">
        <v>8.1099999999999992E-2</v>
      </c>
      <c r="D14" s="199">
        <v>6.3795853269537475E-2</v>
      </c>
      <c r="E14" s="86">
        <f t="shared" si="0"/>
        <v>6.0999999999999999E-2</v>
      </c>
      <c r="H14" s="10" t="s">
        <v>91</v>
      </c>
      <c r="I14">
        <v>74</v>
      </c>
      <c r="J14">
        <v>1.6652585507977932E-2</v>
      </c>
      <c r="K14">
        <v>2.2503493929699908E-4</v>
      </c>
      <c r="M14" s="11"/>
    </row>
    <row r="15" spans="1:13" ht="15" thickBot="1" x14ac:dyDescent="0.4">
      <c r="A15" s="197">
        <v>6.6</v>
      </c>
      <c r="B15" s="198">
        <v>33239</v>
      </c>
      <c r="C15" s="199">
        <v>6.9099999999999995E-2</v>
      </c>
      <c r="D15" s="199">
        <v>5.6470588235294029E-2</v>
      </c>
      <c r="E15" s="86">
        <f t="shared" si="0"/>
        <v>6.6000000000000003E-2</v>
      </c>
      <c r="H15" s="12" t="s">
        <v>92</v>
      </c>
      <c r="I15" s="5">
        <v>76</v>
      </c>
      <c r="J15" s="5">
        <v>3.743898675324675E-2</v>
      </c>
      <c r="K15" s="5"/>
      <c r="L15" s="5"/>
      <c r="M15" s="13"/>
    </row>
    <row r="16" spans="1:13" ht="15" thickBot="1" x14ac:dyDescent="0.4">
      <c r="A16" s="197">
        <v>6.8</v>
      </c>
      <c r="B16" s="198">
        <v>33329</v>
      </c>
      <c r="C16" s="199">
        <v>5.91E-2</v>
      </c>
      <c r="D16" s="199">
        <v>4.8099301784328849E-2</v>
      </c>
      <c r="E16" s="86">
        <f t="shared" si="0"/>
        <v>6.8000000000000005E-2</v>
      </c>
    </row>
    <row r="17" spans="1:16" x14ac:dyDescent="0.35">
      <c r="A17" s="197">
        <v>6.9</v>
      </c>
      <c r="B17" s="198">
        <v>33420</v>
      </c>
      <c r="C17" s="199">
        <v>5.8200000000000002E-2</v>
      </c>
      <c r="D17" s="199">
        <v>4.3678160919540146E-2</v>
      </c>
      <c r="E17" s="86">
        <f t="shared" si="0"/>
        <v>6.9000000000000006E-2</v>
      </c>
      <c r="H17" s="14"/>
      <c r="I17" s="6" t="s">
        <v>98</v>
      </c>
      <c r="J17" s="6" t="s">
        <v>87</v>
      </c>
      <c r="K17" s="6" t="s">
        <v>99</v>
      </c>
      <c r="L17" s="6" t="s">
        <v>100</v>
      </c>
      <c r="M17" s="6" t="s">
        <v>101</v>
      </c>
      <c r="N17" s="6" t="s">
        <v>102</v>
      </c>
      <c r="O17" s="6" t="s">
        <v>103</v>
      </c>
      <c r="P17" s="15" t="s">
        <v>104</v>
      </c>
    </row>
    <row r="18" spans="1:16" x14ac:dyDescent="0.35">
      <c r="A18" s="197">
        <v>7.1</v>
      </c>
      <c r="B18" s="198">
        <v>33512</v>
      </c>
      <c r="C18" s="199">
        <v>5.21E-2</v>
      </c>
      <c r="D18" s="199">
        <v>2.8485757121439151E-2</v>
      </c>
      <c r="E18" s="86">
        <f t="shared" si="0"/>
        <v>7.0999999999999994E-2</v>
      </c>
      <c r="H18" s="10" t="s">
        <v>93</v>
      </c>
      <c r="I18" s="16">
        <v>5.3116606778079882E-2</v>
      </c>
      <c r="J18">
        <v>1.0864511943498471E-2</v>
      </c>
      <c r="K18">
        <v>4.8890007258785211</v>
      </c>
      <c r="L18">
        <v>5.7286987742251268E-6</v>
      </c>
      <c r="M18">
        <v>3.1468594176746439E-2</v>
      </c>
      <c r="N18">
        <v>7.4764619379413325E-2</v>
      </c>
      <c r="O18">
        <v>3.1468594176746439E-2</v>
      </c>
      <c r="P18" s="11">
        <v>7.4764619379413325E-2</v>
      </c>
    </row>
    <row r="19" spans="1:16" x14ac:dyDescent="0.35">
      <c r="A19" s="197">
        <v>7.4</v>
      </c>
      <c r="B19" s="198">
        <v>33604</v>
      </c>
      <c r="C19" s="199">
        <v>4.0300000000000002E-2</v>
      </c>
      <c r="D19" s="199">
        <v>2.6726057906458968E-2</v>
      </c>
      <c r="E19" s="86">
        <f t="shared" si="0"/>
        <v>7.400000000000001E-2</v>
      </c>
      <c r="H19" s="10" t="s">
        <v>110</v>
      </c>
      <c r="I19" s="16">
        <v>1.4241460145247691</v>
      </c>
      <c r="J19">
        <v>0.1589714723216806</v>
      </c>
      <c r="K19">
        <v>8.9585005015427761</v>
      </c>
      <c r="L19">
        <v>1.9923611584564088E-13</v>
      </c>
      <c r="M19">
        <v>1.1073884414308686</v>
      </c>
      <c r="N19">
        <v>1.7409035876186696</v>
      </c>
      <c r="O19">
        <v>1.1073884414308686</v>
      </c>
      <c r="P19" s="11">
        <v>1.7409035876186696</v>
      </c>
    </row>
    <row r="20" spans="1:16" ht="15" thickBot="1" x14ac:dyDescent="0.4">
      <c r="A20" s="197">
        <v>7.6</v>
      </c>
      <c r="B20" s="198">
        <v>33695</v>
      </c>
      <c r="C20" s="199">
        <v>3.73E-2</v>
      </c>
      <c r="D20" s="199">
        <v>3.1828275351591502E-2</v>
      </c>
      <c r="E20" s="86">
        <f t="shared" si="0"/>
        <v>7.5999999999999998E-2</v>
      </c>
      <c r="H20" s="12" t="s">
        <v>114</v>
      </c>
      <c r="I20" s="17">
        <v>-0.89756919742229513</v>
      </c>
      <c r="J20" s="5">
        <v>0.18794373146521079</v>
      </c>
      <c r="K20" s="5">
        <v>-4.7757336221050775</v>
      </c>
      <c r="L20" s="5">
        <v>8.8260503268853354E-6</v>
      </c>
      <c r="M20" s="5">
        <v>-1.2720552570133332</v>
      </c>
      <c r="N20" s="5">
        <v>-0.52308313783125715</v>
      </c>
      <c r="O20" s="5">
        <v>-1.2720552570133332</v>
      </c>
      <c r="P20" s="13">
        <v>-0.52308313783125715</v>
      </c>
    </row>
    <row r="21" spans="1:16" x14ac:dyDescent="0.35">
      <c r="A21" s="197">
        <v>7.6</v>
      </c>
      <c r="B21" s="198">
        <v>33786</v>
      </c>
      <c r="C21" s="199">
        <v>3.2500000000000001E-2</v>
      </c>
      <c r="D21" s="199">
        <v>3.1571218795888485E-2</v>
      </c>
      <c r="E21" s="86">
        <f t="shared" si="0"/>
        <v>7.5999999999999998E-2</v>
      </c>
    </row>
    <row r="22" spans="1:16" x14ac:dyDescent="0.35">
      <c r="A22" s="197">
        <v>7.4</v>
      </c>
      <c r="B22" s="198">
        <v>33878</v>
      </c>
      <c r="C22" s="199">
        <v>3.1E-2</v>
      </c>
      <c r="D22" s="199">
        <v>3.2798833819241986E-2</v>
      </c>
      <c r="E22" s="86">
        <f t="shared" si="0"/>
        <v>7.400000000000001E-2</v>
      </c>
    </row>
    <row r="23" spans="1:16" x14ac:dyDescent="0.35">
      <c r="A23" s="197">
        <v>7.1</v>
      </c>
      <c r="B23" s="198">
        <v>33970</v>
      </c>
      <c r="C23" s="199">
        <v>3.0200000000000001E-2</v>
      </c>
      <c r="D23" s="199">
        <v>3.2537960954446853E-2</v>
      </c>
      <c r="E23" s="86">
        <f t="shared" si="0"/>
        <v>7.0999999999999994E-2</v>
      </c>
    </row>
    <row r="24" spans="1:16" x14ac:dyDescent="0.35">
      <c r="A24" s="197">
        <v>7.1</v>
      </c>
      <c r="B24" s="198">
        <v>34060</v>
      </c>
      <c r="C24" s="199">
        <v>2.9600000000000001E-2</v>
      </c>
      <c r="D24" s="199">
        <v>3.1563845050215249E-2</v>
      </c>
      <c r="E24" s="86">
        <f t="shared" si="0"/>
        <v>7.0999999999999994E-2</v>
      </c>
    </row>
    <row r="25" spans="1:16" x14ac:dyDescent="0.35">
      <c r="A25" s="197">
        <v>6.8</v>
      </c>
      <c r="B25" s="198">
        <v>34151</v>
      </c>
      <c r="C25" s="199">
        <v>3.0600000000000002E-2</v>
      </c>
      <c r="D25" s="199">
        <v>2.8469750889679714E-2</v>
      </c>
      <c r="E25" s="86">
        <f t="shared" si="0"/>
        <v>6.8000000000000005E-2</v>
      </c>
    </row>
    <row r="26" spans="1:16" x14ac:dyDescent="0.35">
      <c r="A26" s="197">
        <v>6.6</v>
      </c>
      <c r="B26" s="198">
        <v>34243</v>
      </c>
      <c r="C26" s="199">
        <v>2.9900000000000003E-2</v>
      </c>
      <c r="D26" s="199">
        <v>2.7522935779816557E-2</v>
      </c>
      <c r="E26" s="86">
        <f t="shared" si="0"/>
        <v>6.6000000000000003E-2</v>
      </c>
    </row>
    <row r="27" spans="1:16" x14ac:dyDescent="0.35">
      <c r="A27" s="197">
        <v>6.6</v>
      </c>
      <c r="B27" s="198">
        <v>34335</v>
      </c>
      <c r="C27" s="199">
        <v>3.0499999999999999E-2</v>
      </c>
      <c r="D27" s="199">
        <v>2.4509803921568627E-2</v>
      </c>
      <c r="E27" s="86">
        <f t="shared" si="0"/>
        <v>6.6000000000000003E-2</v>
      </c>
    </row>
    <row r="28" spans="1:16" x14ac:dyDescent="0.35">
      <c r="A28" s="197">
        <v>6.2</v>
      </c>
      <c r="B28" s="198">
        <v>34425</v>
      </c>
      <c r="C28" s="199">
        <v>3.56E-2</v>
      </c>
      <c r="D28" s="199">
        <v>2.3643949930458812E-2</v>
      </c>
      <c r="E28" s="86">
        <f t="shared" si="0"/>
        <v>6.2E-2</v>
      </c>
    </row>
    <row r="29" spans="1:16" x14ac:dyDescent="0.35">
      <c r="A29" s="197">
        <v>6</v>
      </c>
      <c r="B29" s="198">
        <v>34516</v>
      </c>
      <c r="C29" s="199">
        <v>4.2599999999999999E-2</v>
      </c>
      <c r="D29" s="199">
        <v>2.6989619377162669E-2</v>
      </c>
      <c r="E29" s="86">
        <f t="shared" si="0"/>
        <v>0.06</v>
      </c>
    </row>
    <row r="30" spans="1:16" x14ac:dyDescent="0.35">
      <c r="A30" s="197">
        <v>5.6</v>
      </c>
      <c r="B30" s="198">
        <v>34608</v>
      </c>
      <c r="C30" s="199">
        <v>4.7599999999999996E-2</v>
      </c>
      <c r="D30" s="199">
        <v>2.609890109890118E-2</v>
      </c>
      <c r="E30" s="86">
        <f t="shared" si="0"/>
        <v>5.5999999999999994E-2</v>
      </c>
    </row>
    <row r="31" spans="1:16" x14ac:dyDescent="0.35">
      <c r="A31" s="197">
        <v>5.5</v>
      </c>
      <c r="B31" s="198">
        <v>34700</v>
      </c>
      <c r="C31" s="199">
        <v>5.5300000000000002E-2</v>
      </c>
      <c r="D31" s="199">
        <v>2.8708133971291787E-2</v>
      </c>
      <c r="E31" s="86">
        <f t="shared" si="0"/>
        <v>5.5E-2</v>
      </c>
    </row>
    <row r="32" spans="1:16" x14ac:dyDescent="0.35">
      <c r="A32" s="197">
        <v>5.7</v>
      </c>
      <c r="B32" s="198">
        <v>34790</v>
      </c>
      <c r="C32" s="199">
        <v>6.0499999999999998E-2</v>
      </c>
      <c r="D32" s="199">
        <v>3.125000000000016E-2</v>
      </c>
      <c r="E32" s="86">
        <f t="shared" si="0"/>
        <v>5.7000000000000002E-2</v>
      </c>
    </row>
    <row r="33" spans="1:5" x14ac:dyDescent="0.35">
      <c r="A33" s="197">
        <v>5.7</v>
      </c>
      <c r="B33" s="198">
        <v>34881</v>
      </c>
      <c r="C33" s="199">
        <v>5.8499999999999996E-2</v>
      </c>
      <c r="D33" s="199">
        <v>2.8301886792452751E-2</v>
      </c>
      <c r="E33" s="86">
        <f t="shared" si="0"/>
        <v>5.7000000000000002E-2</v>
      </c>
    </row>
    <row r="34" spans="1:5" x14ac:dyDescent="0.35">
      <c r="A34" s="197">
        <v>5.6</v>
      </c>
      <c r="B34" s="198">
        <v>34973</v>
      </c>
      <c r="C34" s="199">
        <v>5.7599999999999998E-2</v>
      </c>
      <c r="D34" s="199">
        <v>2.7443105756358728E-2</v>
      </c>
      <c r="E34" s="86">
        <f t="shared" si="0"/>
        <v>5.5999999999999994E-2</v>
      </c>
    </row>
    <row r="35" spans="1:5" x14ac:dyDescent="0.35">
      <c r="A35" s="197">
        <v>5.5</v>
      </c>
      <c r="B35" s="198">
        <v>35065</v>
      </c>
      <c r="C35" s="199">
        <v>5.5599999999999997E-2</v>
      </c>
      <c r="D35" s="199">
        <v>2.790697674418597E-2</v>
      </c>
      <c r="E35" s="86">
        <f t="shared" si="0"/>
        <v>5.5E-2</v>
      </c>
    </row>
    <row r="36" spans="1:5" x14ac:dyDescent="0.35">
      <c r="A36" s="197">
        <v>5.5</v>
      </c>
      <c r="B36" s="198">
        <v>35156</v>
      </c>
      <c r="C36" s="199">
        <v>5.2199999999999996E-2</v>
      </c>
      <c r="D36" s="199">
        <v>2.832674571804995E-2</v>
      </c>
      <c r="E36" s="86">
        <f t="shared" si="0"/>
        <v>5.5E-2</v>
      </c>
    </row>
    <row r="37" spans="1:5" x14ac:dyDescent="0.35">
      <c r="A37" s="197">
        <v>5.3</v>
      </c>
      <c r="B37" s="198">
        <v>35247</v>
      </c>
      <c r="C37" s="199">
        <v>5.4000000000000006E-2</v>
      </c>
      <c r="D37" s="199">
        <v>2.8833551769331625E-2</v>
      </c>
      <c r="E37" s="86">
        <f t="shared" si="0"/>
        <v>5.2999999999999999E-2</v>
      </c>
    </row>
    <row r="38" spans="1:5" x14ac:dyDescent="0.35">
      <c r="A38" s="197">
        <v>5.3</v>
      </c>
      <c r="B38" s="198">
        <v>35339</v>
      </c>
      <c r="C38" s="199">
        <v>5.2400000000000002E-2</v>
      </c>
      <c r="D38" s="199">
        <v>3.0618892508143248E-2</v>
      </c>
      <c r="E38" s="86">
        <f t="shared" si="0"/>
        <v>5.2999999999999999E-2</v>
      </c>
    </row>
    <row r="39" spans="1:5" x14ac:dyDescent="0.35">
      <c r="A39" s="197">
        <v>5.2</v>
      </c>
      <c r="B39" s="198">
        <v>35431</v>
      </c>
      <c r="C39" s="199">
        <v>5.2499999999999998E-2</v>
      </c>
      <c r="D39" s="199">
        <v>3.0381383322559907E-2</v>
      </c>
      <c r="E39" s="86">
        <f t="shared" si="0"/>
        <v>5.2000000000000005E-2</v>
      </c>
    </row>
    <row r="40" spans="1:5" x14ac:dyDescent="0.35">
      <c r="A40" s="197">
        <v>5</v>
      </c>
      <c r="B40" s="198">
        <v>35521</v>
      </c>
      <c r="C40" s="199">
        <v>5.5099999999999996E-2</v>
      </c>
      <c r="D40" s="199">
        <v>2.4343369634849531E-2</v>
      </c>
      <c r="E40" s="86">
        <f t="shared" si="0"/>
        <v>0.05</v>
      </c>
    </row>
    <row r="41" spans="1:5" x14ac:dyDescent="0.35">
      <c r="A41" s="197">
        <v>4.9000000000000004</v>
      </c>
      <c r="B41" s="198">
        <v>35612</v>
      </c>
      <c r="C41" s="199">
        <v>5.5199999999999999E-2</v>
      </c>
      <c r="D41" s="199">
        <v>2.165605095541405E-2</v>
      </c>
      <c r="E41" s="86">
        <f t="shared" si="0"/>
        <v>4.9000000000000002E-2</v>
      </c>
    </row>
    <row r="42" spans="1:5" x14ac:dyDescent="0.35">
      <c r="A42" s="197">
        <v>4.7</v>
      </c>
      <c r="B42" s="198">
        <v>35704</v>
      </c>
      <c r="C42" s="199">
        <v>5.5E-2</v>
      </c>
      <c r="D42" s="199">
        <v>2.0859671302149253E-2</v>
      </c>
      <c r="E42" s="86">
        <f t="shared" si="0"/>
        <v>4.7E-2</v>
      </c>
    </row>
    <row r="43" spans="1:5" x14ac:dyDescent="0.35">
      <c r="A43" s="197">
        <v>4.5999999999999996</v>
      </c>
      <c r="B43" s="198">
        <v>35796</v>
      </c>
      <c r="C43" s="199">
        <v>5.5599999999999997E-2</v>
      </c>
      <c r="D43" s="199">
        <v>1.6311166875784155E-2</v>
      </c>
      <c r="E43" s="86">
        <f t="shared" si="0"/>
        <v>4.5999999999999999E-2</v>
      </c>
    </row>
    <row r="44" spans="1:5" x14ac:dyDescent="0.35">
      <c r="A44" s="197">
        <v>4.4000000000000004</v>
      </c>
      <c r="B44" s="198">
        <v>35886</v>
      </c>
      <c r="C44" s="199">
        <v>5.45E-2</v>
      </c>
      <c r="D44" s="199">
        <v>1.4383989993745985E-2</v>
      </c>
      <c r="E44" s="86">
        <f t="shared" si="0"/>
        <v>4.4000000000000004E-2</v>
      </c>
    </row>
    <row r="45" spans="1:5" x14ac:dyDescent="0.35">
      <c r="A45" s="197">
        <v>4.5</v>
      </c>
      <c r="B45" s="198">
        <v>35977</v>
      </c>
      <c r="C45" s="199">
        <v>5.5399999999999998E-2</v>
      </c>
      <c r="D45" s="199">
        <v>1.7456359102244284E-2</v>
      </c>
      <c r="E45" s="86">
        <f t="shared" si="0"/>
        <v>4.4999999999999998E-2</v>
      </c>
    </row>
    <row r="46" spans="1:5" x14ac:dyDescent="0.35">
      <c r="A46" s="197">
        <v>4.4000000000000004</v>
      </c>
      <c r="B46" s="198">
        <v>36069</v>
      </c>
      <c r="C46" s="199">
        <v>5.0700000000000002E-2</v>
      </c>
      <c r="D46" s="199">
        <v>1.4860681114551119E-2</v>
      </c>
      <c r="E46" s="86">
        <f t="shared" si="0"/>
        <v>4.4000000000000004E-2</v>
      </c>
    </row>
    <row r="47" spans="1:5" x14ac:dyDescent="0.35">
      <c r="A47" s="197">
        <v>4.3</v>
      </c>
      <c r="B47" s="198">
        <v>36161</v>
      </c>
      <c r="C47" s="199">
        <v>4.6300000000000001E-2</v>
      </c>
      <c r="D47" s="199">
        <v>1.6666666666666597E-2</v>
      </c>
      <c r="E47" s="86">
        <f t="shared" si="0"/>
        <v>4.2999999999999997E-2</v>
      </c>
    </row>
    <row r="48" spans="1:5" x14ac:dyDescent="0.35">
      <c r="A48" s="197">
        <v>4.3</v>
      </c>
      <c r="B48" s="198">
        <v>36251</v>
      </c>
      <c r="C48" s="199">
        <v>4.7400000000000005E-2</v>
      </c>
      <c r="D48" s="199">
        <v>2.2811344019728837E-2</v>
      </c>
      <c r="E48" s="86">
        <f t="shared" si="0"/>
        <v>4.2999999999999997E-2</v>
      </c>
    </row>
    <row r="49" spans="1:9" x14ac:dyDescent="0.35">
      <c r="A49" s="197">
        <v>4.2</v>
      </c>
      <c r="B49" s="198">
        <v>36342</v>
      </c>
      <c r="C49" s="199">
        <v>4.99E-2</v>
      </c>
      <c r="D49" s="199">
        <v>2.1446078431372549E-2</v>
      </c>
      <c r="E49" s="86">
        <f t="shared" si="0"/>
        <v>4.2000000000000003E-2</v>
      </c>
    </row>
    <row r="50" spans="1:9" x14ac:dyDescent="0.35">
      <c r="A50" s="197">
        <v>4.0999999999999996</v>
      </c>
      <c r="B50" s="198">
        <v>36434</v>
      </c>
      <c r="C50" s="199">
        <v>5.2000000000000005E-2</v>
      </c>
      <c r="D50" s="199">
        <v>2.5625381330079248E-2</v>
      </c>
      <c r="E50" s="86">
        <f t="shared" si="0"/>
        <v>4.0999999999999995E-2</v>
      </c>
    </row>
    <row r="51" spans="1:9" x14ac:dyDescent="0.35">
      <c r="A51" s="197">
        <v>4</v>
      </c>
      <c r="B51" s="198">
        <v>36526</v>
      </c>
      <c r="C51" s="199">
        <v>5.45E-2</v>
      </c>
      <c r="D51" s="199">
        <v>2.792956891317561E-2</v>
      </c>
      <c r="E51" s="86">
        <f t="shared" si="0"/>
        <v>0.04</v>
      </c>
    </row>
    <row r="52" spans="1:9" x14ac:dyDescent="0.35">
      <c r="A52" s="197">
        <v>3.9</v>
      </c>
      <c r="B52" s="198">
        <v>36617</v>
      </c>
      <c r="C52" s="199">
        <v>6.0199999999999997E-2</v>
      </c>
      <c r="D52" s="199">
        <v>3.013863773357444E-2</v>
      </c>
      <c r="E52" s="86">
        <f t="shared" si="0"/>
        <v>3.9E-2</v>
      </c>
    </row>
    <row r="53" spans="1:9" x14ac:dyDescent="0.35">
      <c r="A53" s="197">
        <v>4</v>
      </c>
      <c r="B53" s="198">
        <v>36708</v>
      </c>
      <c r="C53" s="199">
        <v>6.54E-2</v>
      </c>
      <c r="D53" s="199">
        <v>3.5992801439712063E-2</v>
      </c>
      <c r="E53" s="86">
        <f t="shared" si="0"/>
        <v>0.04</v>
      </c>
      <c r="G53">
        <v>28</v>
      </c>
      <c r="H53">
        <v>3.1865507513668886E-2</v>
      </c>
      <c r="I53">
        <v>-4.8758881365062179E-3</v>
      </c>
    </row>
    <row r="54" spans="1:9" x14ac:dyDescent="0.35">
      <c r="A54" s="197">
        <v>3.9</v>
      </c>
      <c r="B54" s="198">
        <v>36800</v>
      </c>
      <c r="C54" s="199">
        <v>6.5099999999999991E-2</v>
      </c>
      <c r="D54" s="199">
        <v>3.4503271861986984E-2</v>
      </c>
      <c r="E54" s="86">
        <f t="shared" si="0"/>
        <v>3.9E-2</v>
      </c>
      <c r="G54">
        <v>29</v>
      </c>
      <c r="H54">
        <v>3.1161381025030976E-2</v>
      </c>
      <c r="I54">
        <v>-5.0624799261297961E-3</v>
      </c>
    </row>
    <row r="55" spans="1:9" x14ac:dyDescent="0.35">
      <c r="A55" s="197">
        <v>4.2</v>
      </c>
      <c r="B55" s="198">
        <v>36892</v>
      </c>
      <c r="C55" s="199">
        <v>5.9800000000000006E-2</v>
      </c>
      <c r="D55" s="199">
        <v>3.7212049616066049E-2</v>
      </c>
      <c r="E55" s="86">
        <f t="shared" si="0"/>
        <v>4.2000000000000003E-2</v>
      </c>
      <c r="G55">
        <v>30</v>
      </c>
      <c r="H55">
        <v>3.0985349402871499E-2</v>
      </c>
      <c r="I55">
        <v>-2.277215431579712E-3</v>
      </c>
    </row>
    <row r="56" spans="1:9" x14ac:dyDescent="0.35">
      <c r="A56" s="197">
        <v>4.4000000000000004</v>
      </c>
      <c r="B56" s="198">
        <v>36982</v>
      </c>
      <c r="C56" s="199">
        <v>4.8000000000000001E-2</v>
      </c>
      <c r="D56" s="199">
        <v>3.2182562902282039E-2</v>
      </c>
      <c r="E56" s="86">
        <f t="shared" si="0"/>
        <v>4.4000000000000004E-2</v>
      </c>
      <c r="G56">
        <v>31</v>
      </c>
      <c r="H56">
        <v>3.1337412647190456E-2</v>
      </c>
      <c r="I56">
        <v>-8.74126471902964E-5</v>
      </c>
    </row>
    <row r="57" spans="1:9" x14ac:dyDescent="0.35">
      <c r="A57" s="197">
        <v>4.8</v>
      </c>
      <c r="B57" s="198">
        <v>37073</v>
      </c>
      <c r="C57" s="199">
        <v>3.7699999999999997E-2</v>
      </c>
      <c r="D57" s="199">
        <v>2.7214823393167442E-2</v>
      </c>
      <c r="E57" s="86">
        <f t="shared" si="0"/>
        <v>4.8000000000000001E-2</v>
      </c>
      <c r="G57">
        <v>32</v>
      </c>
      <c r="H57">
        <v>3.1337412647190456E-2</v>
      </c>
      <c r="I57">
        <v>-3.0355258547377049E-3</v>
      </c>
    </row>
    <row r="58" spans="1:9" x14ac:dyDescent="0.35">
      <c r="A58" s="197">
        <v>5.5</v>
      </c>
      <c r="B58" s="198">
        <v>37165</v>
      </c>
      <c r="C58" s="199">
        <v>2.4900000000000002E-2</v>
      </c>
      <c r="D58" s="199">
        <v>2.1276595744680785E-2</v>
      </c>
      <c r="E58" s="86">
        <f t="shared" si="0"/>
        <v>5.5E-2</v>
      </c>
      <c r="G58">
        <v>33</v>
      </c>
      <c r="H58">
        <v>3.1161381025030976E-2</v>
      </c>
      <c r="I58">
        <v>-3.7182752686722477E-3</v>
      </c>
    </row>
    <row r="59" spans="1:9" x14ac:dyDescent="0.35">
      <c r="A59" s="197">
        <v>5.7</v>
      </c>
      <c r="B59" s="198">
        <v>37257</v>
      </c>
      <c r="C59" s="199">
        <v>1.7299999999999999E-2</v>
      </c>
      <c r="D59" s="199">
        <v>1.1958997722095639E-2</v>
      </c>
      <c r="E59" s="86">
        <f t="shared" si="0"/>
        <v>5.7000000000000002E-2</v>
      </c>
      <c r="G59">
        <v>34</v>
      </c>
      <c r="H59">
        <v>3.0985349402871499E-2</v>
      </c>
      <c r="I59">
        <v>-3.0783726586855291E-3</v>
      </c>
    </row>
    <row r="60" spans="1:9" x14ac:dyDescent="0.35">
      <c r="A60" s="197">
        <v>5.8</v>
      </c>
      <c r="B60" s="198">
        <v>37347</v>
      </c>
      <c r="C60" s="199">
        <v>1.7500000000000002E-2</v>
      </c>
      <c r="D60" s="199">
        <v>1.6439909297052187E-2</v>
      </c>
      <c r="E60" s="86">
        <f t="shared" si="0"/>
        <v>5.7999999999999996E-2</v>
      </c>
      <c r="G60">
        <v>35</v>
      </c>
      <c r="H60">
        <v>3.0985349402871499E-2</v>
      </c>
      <c r="I60">
        <v>-2.6586036848215491E-3</v>
      </c>
    </row>
    <row r="61" spans="1:9" x14ac:dyDescent="0.35">
      <c r="A61" s="197">
        <v>5.7</v>
      </c>
      <c r="B61" s="198">
        <v>37438</v>
      </c>
      <c r="C61" s="199">
        <v>1.7299999999999999E-2</v>
      </c>
      <c r="D61" s="199">
        <v>1.4656144306651603E-2</v>
      </c>
      <c r="E61" s="86">
        <f t="shared" si="0"/>
        <v>5.7000000000000002E-2</v>
      </c>
      <c r="G61">
        <v>36</v>
      </c>
      <c r="H61">
        <v>3.0633286158552542E-2</v>
      </c>
      <c r="I61">
        <v>-1.7997343892209167E-3</v>
      </c>
    </row>
    <row r="62" spans="1:9" x14ac:dyDescent="0.35">
      <c r="A62" s="197">
        <v>5.9</v>
      </c>
      <c r="B62" s="198">
        <v>37530</v>
      </c>
      <c r="C62" s="199">
        <v>1.7500000000000002E-2</v>
      </c>
      <c r="D62" s="199">
        <v>2.027027027027024E-2</v>
      </c>
      <c r="E62" s="86">
        <f t="shared" si="0"/>
        <v>5.9000000000000004E-2</v>
      </c>
      <c r="G62">
        <v>37</v>
      </c>
      <c r="H62">
        <v>3.0633286158552542E-2</v>
      </c>
      <c r="I62">
        <v>-1.4393650409293829E-5</v>
      </c>
    </row>
    <row r="63" spans="1:9" x14ac:dyDescent="0.35">
      <c r="A63" s="197">
        <v>5.9</v>
      </c>
      <c r="B63" s="198">
        <v>37622</v>
      </c>
      <c r="C63" s="199">
        <v>1.24E-2</v>
      </c>
      <c r="D63" s="199">
        <v>2.5886325267304576E-2</v>
      </c>
      <c r="E63" s="86">
        <f t="shared" si="0"/>
        <v>5.9000000000000004E-2</v>
      </c>
      <c r="G63">
        <v>38</v>
      </c>
      <c r="H63">
        <v>3.0457254536393065E-2</v>
      </c>
      <c r="I63">
        <v>-7.5871213833157702E-5</v>
      </c>
    </row>
    <row r="64" spans="1:9" x14ac:dyDescent="0.35">
      <c r="A64" s="197">
        <v>6.1</v>
      </c>
      <c r="B64" s="198">
        <v>37712</v>
      </c>
      <c r="C64" s="199">
        <v>1.26E-2</v>
      </c>
      <c r="D64" s="199">
        <v>2.2308979364194088E-2</v>
      </c>
      <c r="E64" s="86">
        <f t="shared" si="0"/>
        <v>6.0999999999999999E-2</v>
      </c>
      <c r="G64">
        <v>39</v>
      </c>
      <c r="H64">
        <v>3.0105191292074111E-2</v>
      </c>
      <c r="I64">
        <v>-5.7618216572245806E-3</v>
      </c>
    </row>
    <row r="65" spans="1:9" x14ac:dyDescent="0.35">
      <c r="A65" s="197">
        <v>6.1</v>
      </c>
      <c r="B65" s="198">
        <v>37803</v>
      </c>
      <c r="C65" s="199">
        <v>1.01E-2</v>
      </c>
      <c r="D65" s="199">
        <v>2.1111111111111174E-2</v>
      </c>
      <c r="E65" s="86">
        <f t="shared" si="0"/>
        <v>6.0999999999999999E-2</v>
      </c>
      <c r="G65">
        <v>40</v>
      </c>
      <c r="H65">
        <v>2.9929159669914635E-2</v>
      </c>
      <c r="I65">
        <v>-8.2731087145005849E-3</v>
      </c>
    </row>
    <row r="66" spans="1:9" x14ac:dyDescent="0.35">
      <c r="A66" s="197">
        <v>5.8</v>
      </c>
      <c r="B66" s="198">
        <v>37895</v>
      </c>
      <c r="C66" s="199">
        <v>1.01E-2</v>
      </c>
      <c r="D66" s="199">
        <v>2.0419426048565215E-2</v>
      </c>
      <c r="E66" s="86">
        <f t="shared" ref="E66:E78" si="1">A66/100</f>
        <v>5.7999999999999996E-2</v>
      </c>
      <c r="G66">
        <v>41</v>
      </c>
      <c r="H66">
        <v>2.9577096425595677E-2</v>
      </c>
      <c r="I66">
        <v>-8.7174251234464241E-3</v>
      </c>
    </row>
    <row r="67" spans="1:9" x14ac:dyDescent="0.35">
      <c r="A67" s="197">
        <v>5.7</v>
      </c>
      <c r="B67" s="198">
        <v>37987</v>
      </c>
      <c r="C67" s="199">
        <v>0.01</v>
      </c>
      <c r="D67" s="199">
        <v>1.9747668678003257E-2</v>
      </c>
      <c r="E67" s="86">
        <f t="shared" si="1"/>
        <v>5.7000000000000002E-2</v>
      </c>
      <c r="G67">
        <v>42</v>
      </c>
      <c r="H67">
        <v>2.9401064803436197E-2</v>
      </c>
      <c r="I67">
        <v>-1.3089897927652042E-2</v>
      </c>
    </row>
    <row r="68" spans="1:9" x14ac:dyDescent="0.35">
      <c r="A68" s="197">
        <v>5.6</v>
      </c>
      <c r="B68" s="198">
        <v>38078</v>
      </c>
      <c r="C68" s="199">
        <v>0.01</v>
      </c>
      <c r="D68" s="199">
        <v>2.2913256955810084E-2</v>
      </c>
      <c r="E68" s="86">
        <f t="shared" si="1"/>
        <v>5.5999999999999994E-2</v>
      </c>
      <c r="G68">
        <v>43</v>
      </c>
      <c r="H68">
        <v>2.9049001559117243E-2</v>
      </c>
      <c r="I68">
        <v>-1.4665011565371259E-2</v>
      </c>
    </row>
    <row r="69" spans="1:9" x14ac:dyDescent="0.35">
      <c r="A69" s="197">
        <v>5.4</v>
      </c>
      <c r="B69" s="198">
        <v>38169</v>
      </c>
      <c r="C69" s="199">
        <v>1.26E-2</v>
      </c>
      <c r="D69" s="199">
        <v>2.9923830250272034E-2</v>
      </c>
      <c r="E69" s="86">
        <f t="shared" si="1"/>
        <v>5.4000000000000006E-2</v>
      </c>
      <c r="G69">
        <v>44</v>
      </c>
      <c r="H69">
        <v>2.922503318127672E-2</v>
      </c>
      <c r="I69">
        <v>-1.1768674079032437E-2</v>
      </c>
    </row>
    <row r="70" spans="1:9" x14ac:dyDescent="0.35">
      <c r="A70" s="197">
        <v>5.4</v>
      </c>
      <c r="B70" s="198">
        <v>38261</v>
      </c>
      <c r="C70" s="199">
        <v>1.7600000000000001E-2</v>
      </c>
      <c r="D70" s="199">
        <v>3.190914007571663E-2</v>
      </c>
      <c r="E70" s="86">
        <f t="shared" si="1"/>
        <v>5.4000000000000006E-2</v>
      </c>
      <c r="G70">
        <v>45</v>
      </c>
      <c r="H70">
        <v>2.9049001559117243E-2</v>
      </c>
      <c r="I70">
        <v>-1.4188320444566124E-2</v>
      </c>
    </row>
    <row r="71" spans="1:9" x14ac:dyDescent="0.35">
      <c r="A71" s="197">
        <v>5.3</v>
      </c>
      <c r="B71" s="198">
        <v>38353</v>
      </c>
      <c r="C71" s="199">
        <v>2.2799999999999997E-2</v>
      </c>
      <c r="D71" s="199">
        <v>2.9047875201721387E-2</v>
      </c>
      <c r="E71" s="86">
        <f t="shared" si="1"/>
        <v>5.2999999999999999E-2</v>
      </c>
      <c r="G71">
        <v>46</v>
      </c>
      <c r="H71">
        <v>2.8872969936957767E-2</v>
      </c>
      <c r="I71">
        <v>-1.220630327029117E-2</v>
      </c>
    </row>
    <row r="72" spans="1:9" x14ac:dyDescent="0.35">
      <c r="A72" s="197">
        <v>5.0999999999999996</v>
      </c>
      <c r="B72" s="198">
        <v>38443</v>
      </c>
      <c r="C72" s="199">
        <v>2.7900000000000001E-2</v>
      </c>
      <c r="D72" s="199">
        <v>3.4133333333333363E-2</v>
      </c>
      <c r="E72" s="86">
        <f t="shared" si="1"/>
        <v>5.0999999999999997E-2</v>
      </c>
      <c r="G72">
        <v>47</v>
      </c>
      <c r="H72">
        <v>2.8872969936957767E-2</v>
      </c>
      <c r="I72">
        <v>-6.0616259172289293E-3</v>
      </c>
    </row>
    <row r="73" spans="1:9" x14ac:dyDescent="0.35">
      <c r="A73" s="197">
        <v>5</v>
      </c>
      <c r="B73" s="198">
        <v>38534</v>
      </c>
      <c r="C73" s="199">
        <v>3.2599999999999997E-2</v>
      </c>
      <c r="D73" s="199">
        <v>3.0639197041732607E-2</v>
      </c>
      <c r="E73" s="86">
        <f t="shared" si="1"/>
        <v>0.05</v>
      </c>
      <c r="G73">
        <v>48</v>
      </c>
      <c r="H73">
        <v>2.869693831479829E-2</v>
      </c>
      <c r="I73">
        <v>-7.2508598834257407E-3</v>
      </c>
    </row>
    <row r="74" spans="1:9" x14ac:dyDescent="0.35">
      <c r="A74" s="197">
        <v>5</v>
      </c>
      <c r="B74" s="198">
        <v>38626</v>
      </c>
      <c r="C74" s="199">
        <v>3.78E-2</v>
      </c>
      <c r="D74" s="199">
        <v>4.4025157232704282E-2</v>
      </c>
      <c r="E74" s="86">
        <f t="shared" si="1"/>
        <v>0.05</v>
      </c>
      <c r="G74">
        <v>49</v>
      </c>
      <c r="H74">
        <v>2.852090669263881E-2</v>
      </c>
      <c r="I74">
        <v>-2.8955253625595617E-3</v>
      </c>
    </row>
    <row r="75" spans="1:9" x14ac:dyDescent="0.35">
      <c r="A75" s="197">
        <v>4.7</v>
      </c>
      <c r="B75" s="198">
        <v>38718</v>
      </c>
      <c r="C75" s="199">
        <v>4.2900000000000001E-2</v>
      </c>
      <c r="D75" s="199">
        <v>4.0250914793517972E-2</v>
      </c>
      <c r="E75" s="86">
        <f t="shared" si="1"/>
        <v>4.7E-2</v>
      </c>
      <c r="G75">
        <v>50</v>
      </c>
      <c r="H75">
        <v>2.8344875070479333E-2</v>
      </c>
      <c r="I75">
        <v>-4.1530615730372283E-4</v>
      </c>
    </row>
    <row r="76" spans="1:9" x14ac:dyDescent="0.35">
      <c r="A76" s="197">
        <v>4.5999999999999996</v>
      </c>
      <c r="B76" s="198">
        <v>38808</v>
      </c>
      <c r="C76" s="199">
        <v>4.7899999999999998E-2</v>
      </c>
      <c r="D76" s="199">
        <v>3.5585353274883991E-2</v>
      </c>
      <c r="E76" s="86">
        <f t="shared" si="1"/>
        <v>4.5999999999999999E-2</v>
      </c>
      <c r="G76">
        <v>51</v>
      </c>
      <c r="H76">
        <v>2.8168843448319852E-2</v>
      </c>
      <c r="I76">
        <v>1.9697942852545877E-3</v>
      </c>
    </row>
    <row r="77" spans="1:9" x14ac:dyDescent="0.35">
      <c r="A77" s="197">
        <v>4.5999999999999996</v>
      </c>
      <c r="B77" s="198">
        <v>38899</v>
      </c>
      <c r="C77" s="199">
        <v>5.2400000000000002E-2</v>
      </c>
      <c r="D77" s="199">
        <v>4.1517170681701666E-2</v>
      </c>
      <c r="E77" s="86">
        <f t="shared" si="1"/>
        <v>4.5999999999999999E-2</v>
      </c>
      <c r="G77">
        <v>52</v>
      </c>
      <c r="H77">
        <v>2.8344875070479333E-2</v>
      </c>
      <c r="I77">
        <v>7.6479263692327305E-3</v>
      </c>
    </row>
    <row r="78" spans="1:9" ht="15" thickBot="1" x14ac:dyDescent="0.4">
      <c r="A78" s="200">
        <v>4.4000000000000004</v>
      </c>
      <c r="B78" s="201">
        <v>38991</v>
      </c>
      <c r="C78" s="202">
        <v>5.2499999999999998E-2</v>
      </c>
      <c r="D78" s="202">
        <v>1.3052208835341481E-2</v>
      </c>
      <c r="E78" s="92">
        <f t="shared" si="1"/>
        <v>4.4000000000000004E-2</v>
      </c>
      <c r="G78">
        <v>53</v>
      </c>
      <c r="H78">
        <v>2.8168843448319852E-2</v>
      </c>
      <c r="I78">
        <v>6.3344284136671314E-3</v>
      </c>
    </row>
    <row r="79" spans="1:9" x14ac:dyDescent="0.35">
      <c r="G79">
        <v>54</v>
      </c>
      <c r="H79">
        <v>2.869693831479829E-2</v>
      </c>
      <c r="I79">
        <v>8.5151113012677596E-3</v>
      </c>
    </row>
    <row r="80" spans="1:9" x14ac:dyDescent="0.35">
      <c r="G80">
        <v>55</v>
      </c>
      <c r="H80">
        <v>2.9049001559117243E-2</v>
      </c>
      <c r="I80">
        <v>3.1335613431647952E-3</v>
      </c>
    </row>
    <row r="81" spans="7:9" x14ac:dyDescent="0.35">
      <c r="G81">
        <v>56</v>
      </c>
      <c r="H81">
        <v>2.9753128047755154E-2</v>
      </c>
      <c r="I81">
        <v>-2.5383046545877121E-3</v>
      </c>
    </row>
    <row r="82" spans="7:9" x14ac:dyDescent="0.35">
      <c r="G82">
        <v>57</v>
      </c>
      <c r="H82">
        <v>3.0985349402871499E-2</v>
      </c>
      <c r="I82">
        <v>-9.7087536581907143E-3</v>
      </c>
    </row>
    <row r="83" spans="7:9" x14ac:dyDescent="0.35">
      <c r="G83">
        <v>58</v>
      </c>
      <c r="H83">
        <v>3.1337412647190456E-2</v>
      </c>
      <c r="I83">
        <v>-1.9378414925094817E-2</v>
      </c>
    </row>
    <row r="84" spans="7:9" x14ac:dyDescent="0.35">
      <c r="G84">
        <v>59</v>
      </c>
      <c r="H84">
        <v>3.1513444269349933E-2</v>
      </c>
      <c r="I84">
        <v>-1.5073534972297745E-2</v>
      </c>
    </row>
    <row r="85" spans="7:9" x14ac:dyDescent="0.35">
      <c r="G85">
        <v>60</v>
      </c>
      <c r="H85">
        <v>3.1337412647190456E-2</v>
      </c>
      <c r="I85">
        <v>-1.6681268340538853E-2</v>
      </c>
    </row>
    <row r="86" spans="7:9" x14ac:dyDescent="0.35">
      <c r="G86">
        <v>61</v>
      </c>
      <c r="H86">
        <v>3.168947589150941E-2</v>
      </c>
      <c r="I86">
        <v>-1.1419205621239169E-2</v>
      </c>
    </row>
    <row r="87" spans="7:9" x14ac:dyDescent="0.35">
      <c r="G87">
        <v>62</v>
      </c>
      <c r="H87">
        <v>3.168947589150941E-2</v>
      </c>
      <c r="I87">
        <v>-5.8031506242048336E-3</v>
      </c>
    </row>
    <row r="88" spans="7:9" x14ac:dyDescent="0.35">
      <c r="G88">
        <v>63</v>
      </c>
      <c r="H88">
        <v>3.2041539135828363E-2</v>
      </c>
      <c r="I88">
        <v>-9.7325597716342756E-3</v>
      </c>
    </row>
    <row r="89" spans="7:9" x14ac:dyDescent="0.35">
      <c r="G89">
        <v>64</v>
      </c>
      <c r="H89">
        <v>3.2041539135828363E-2</v>
      </c>
      <c r="I89">
        <v>-1.0930428024717189E-2</v>
      </c>
    </row>
    <row r="90" spans="7:9" x14ac:dyDescent="0.35">
      <c r="G90">
        <v>65</v>
      </c>
      <c r="H90">
        <v>3.1513444269349933E-2</v>
      </c>
      <c r="I90">
        <v>-1.1094018220784718E-2</v>
      </c>
    </row>
    <row r="91" spans="7:9" x14ac:dyDescent="0.35">
      <c r="G91">
        <v>66</v>
      </c>
      <c r="H91">
        <v>3.1337412647190456E-2</v>
      </c>
      <c r="I91">
        <v>-1.1589743969187199E-2</v>
      </c>
    </row>
    <row r="92" spans="7:9" x14ac:dyDescent="0.35">
      <c r="G92">
        <v>67</v>
      </c>
      <c r="H92">
        <v>3.1161381025030976E-2</v>
      </c>
      <c r="I92">
        <v>-8.2481240692208919E-3</v>
      </c>
    </row>
    <row r="93" spans="7:9" x14ac:dyDescent="0.35">
      <c r="G93">
        <v>68</v>
      </c>
      <c r="H93">
        <v>3.0809317780712022E-2</v>
      </c>
      <c r="I93">
        <v>-8.8548753043998785E-4</v>
      </c>
    </row>
    <row r="94" spans="7:9" x14ac:dyDescent="0.35">
      <c r="G94">
        <v>69</v>
      </c>
      <c r="H94">
        <v>3.0809317780712022E-2</v>
      </c>
      <c r="I94">
        <v>1.0998222950046078E-3</v>
      </c>
    </row>
    <row r="95" spans="7:9" x14ac:dyDescent="0.35">
      <c r="G95">
        <v>70</v>
      </c>
      <c r="H95">
        <v>3.0633286158552542E-2</v>
      </c>
      <c r="I95">
        <v>-1.5854109568311549E-3</v>
      </c>
    </row>
    <row r="96" spans="7:9" x14ac:dyDescent="0.35">
      <c r="G96">
        <v>71</v>
      </c>
      <c r="H96">
        <v>3.0281222914233588E-2</v>
      </c>
      <c r="I96">
        <v>3.8521104190997746E-3</v>
      </c>
    </row>
    <row r="97" spans="7:9" x14ac:dyDescent="0.35">
      <c r="G97">
        <v>72</v>
      </c>
      <c r="H97">
        <v>3.0105191292074111E-2</v>
      </c>
      <c r="I97">
        <v>5.3400574965849559E-4</v>
      </c>
    </row>
    <row r="98" spans="7:9" x14ac:dyDescent="0.35">
      <c r="G98">
        <v>73</v>
      </c>
      <c r="H98">
        <v>3.0105191292074111E-2</v>
      </c>
      <c r="I98">
        <v>1.391996594063017E-2</v>
      </c>
    </row>
    <row r="99" spans="7:9" x14ac:dyDescent="0.35">
      <c r="G99">
        <v>74</v>
      </c>
      <c r="H99">
        <v>2.9577096425595677E-2</v>
      </c>
      <c r="I99">
        <v>1.0673818367922295E-2</v>
      </c>
    </row>
    <row r="100" spans="7:9" x14ac:dyDescent="0.35">
      <c r="G100">
        <v>75</v>
      </c>
      <c r="H100">
        <v>2.9401064803436197E-2</v>
      </c>
      <c r="I100">
        <v>6.1842884714477936E-3</v>
      </c>
    </row>
    <row r="101" spans="7:9" x14ac:dyDescent="0.35">
      <c r="G101">
        <v>76</v>
      </c>
      <c r="H101">
        <v>2.9401064803436197E-2</v>
      </c>
      <c r="I101">
        <v>1.2116105878265469E-2</v>
      </c>
    </row>
    <row r="102" spans="7:9" ht="15" thickBot="1" x14ac:dyDescent="0.4">
      <c r="G102" s="5">
        <v>77</v>
      </c>
      <c r="H102" s="5">
        <v>2.9049001559117243E-2</v>
      </c>
      <c r="I102" s="5">
        <v>-1.5996792723775764E-2</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BECAA-3D7E-455E-B9FD-A0C64B0FF8E0}">
  <sheetPr codeName="Sheet25">
    <tabColor rgb="FF92D050"/>
  </sheetPr>
  <dimension ref="A1:P78"/>
  <sheetViews>
    <sheetView zoomScale="73" workbookViewId="0">
      <selection activeCell="F20" sqref="F20"/>
    </sheetView>
  </sheetViews>
  <sheetFormatPr defaultRowHeight="14.5" x14ac:dyDescent="0.35"/>
  <cols>
    <col min="1" max="1" width="10.90625" bestFit="1" customWidth="1"/>
    <col min="2" max="2" width="13.81640625" bestFit="1" customWidth="1"/>
    <col min="3" max="3" width="12" bestFit="1" customWidth="1"/>
    <col min="4" max="4" width="19.6328125" bestFit="1" customWidth="1"/>
    <col min="5" max="5" width="9.453125" bestFit="1" customWidth="1"/>
    <col min="8" max="8" width="18" bestFit="1" customWidth="1"/>
    <col min="9" max="9" width="14.90625" customWidth="1"/>
    <col min="10" max="10" width="14.54296875" bestFit="1" customWidth="1"/>
    <col min="11" max="11" width="12.6328125" bestFit="1" customWidth="1"/>
    <col min="12" max="12" width="12" bestFit="1" customWidth="1"/>
    <col min="13" max="13" width="13.453125" bestFit="1" customWidth="1"/>
    <col min="14" max="16" width="12.6328125" bestFit="1" customWidth="1"/>
  </cols>
  <sheetData>
    <row r="1" spans="1:13" x14ac:dyDescent="0.35">
      <c r="A1" s="205" t="s">
        <v>108</v>
      </c>
      <c r="B1" s="195" t="s">
        <v>109</v>
      </c>
      <c r="C1" s="195" t="s">
        <v>110</v>
      </c>
      <c r="D1" s="195" t="s">
        <v>112</v>
      </c>
      <c r="E1" s="196" t="s">
        <v>115</v>
      </c>
    </row>
    <row r="2" spans="1:13" ht="15" thickBot="1" x14ac:dyDescent="0.4">
      <c r="A2" s="203">
        <v>32051</v>
      </c>
      <c r="B2" s="199">
        <v>7.2900000000000006E-2</v>
      </c>
      <c r="C2" s="199">
        <v>4.3557168784029009E-2</v>
      </c>
      <c r="D2" s="199">
        <v>5.7999999999999996E-2</v>
      </c>
      <c r="E2" s="86">
        <v>0</v>
      </c>
    </row>
    <row r="3" spans="1:13" ht="15" thickBot="1" x14ac:dyDescent="0.4">
      <c r="A3" s="203">
        <v>32143</v>
      </c>
      <c r="B3" s="199">
        <v>6.83E-2</v>
      </c>
      <c r="C3" s="199">
        <v>4.1292639138240522E-2</v>
      </c>
      <c r="D3" s="199">
        <v>5.7000000000000002E-2</v>
      </c>
      <c r="E3" s="86">
        <v>0</v>
      </c>
      <c r="H3" s="123" t="s">
        <v>82</v>
      </c>
      <c r="I3" s="124" t="s">
        <v>116</v>
      </c>
      <c r="J3" s="125"/>
    </row>
    <row r="4" spans="1:13" ht="15" thickBot="1" x14ac:dyDescent="0.4">
      <c r="A4" s="203">
        <v>32234</v>
      </c>
      <c r="B4" s="199">
        <v>6.8699999999999997E-2</v>
      </c>
      <c r="C4" s="199">
        <v>3.9929015084294583E-2</v>
      </c>
      <c r="D4" s="199">
        <v>5.5E-2</v>
      </c>
      <c r="E4" s="86">
        <v>0</v>
      </c>
    </row>
    <row r="5" spans="1:13" x14ac:dyDescent="0.35">
      <c r="A5" s="203">
        <v>32325</v>
      </c>
      <c r="B5" s="199">
        <v>7.7499999999999999E-2</v>
      </c>
      <c r="C5" s="199">
        <v>4.1300527240773315E-2</v>
      </c>
      <c r="D5" s="199">
        <v>5.5E-2</v>
      </c>
      <c r="E5" s="86">
        <v>0</v>
      </c>
      <c r="H5" s="8" t="s">
        <v>83</v>
      </c>
      <c r="I5" s="9"/>
    </row>
    <row r="6" spans="1:13" x14ac:dyDescent="0.35">
      <c r="A6" s="203">
        <v>32417</v>
      </c>
      <c r="B6" s="199">
        <v>8.3000000000000004E-2</v>
      </c>
      <c r="C6" s="199">
        <v>4.2608695652173963E-2</v>
      </c>
      <c r="D6" s="199">
        <v>5.2999999999999999E-2</v>
      </c>
      <c r="E6" s="86">
        <v>0</v>
      </c>
      <c r="H6" s="10" t="s">
        <v>84</v>
      </c>
      <c r="I6" s="11">
        <v>0.92101550843515223</v>
      </c>
    </row>
    <row r="7" spans="1:13" x14ac:dyDescent="0.35">
      <c r="A7" s="203">
        <v>32509</v>
      </c>
      <c r="B7" s="199">
        <v>9.1199999999999989E-2</v>
      </c>
      <c r="C7" s="199">
        <v>4.4827586206896579E-2</v>
      </c>
      <c r="D7" s="199">
        <v>5.2000000000000005E-2</v>
      </c>
      <c r="E7" s="86">
        <v>0</v>
      </c>
      <c r="H7" s="10" t="s">
        <v>85</v>
      </c>
      <c r="I7" s="11">
        <v>0.84826956677806187</v>
      </c>
    </row>
    <row r="8" spans="1:13" x14ac:dyDescent="0.35">
      <c r="A8" s="203">
        <v>32599</v>
      </c>
      <c r="B8" s="199">
        <v>9.8400000000000001E-2</v>
      </c>
      <c r="C8" s="199">
        <v>5.0341296928327568E-2</v>
      </c>
      <c r="D8" s="199">
        <v>5.2000000000000005E-2</v>
      </c>
      <c r="E8" s="86">
        <v>0</v>
      </c>
      <c r="H8" s="10" t="s">
        <v>86</v>
      </c>
      <c r="I8" s="11">
        <v>0.8420340695223657</v>
      </c>
    </row>
    <row r="9" spans="1:13" x14ac:dyDescent="0.35">
      <c r="A9" s="203">
        <v>32690</v>
      </c>
      <c r="B9" s="199">
        <v>9.2399999999999996E-2</v>
      </c>
      <c r="C9" s="199">
        <v>5.0632911392405063E-2</v>
      </c>
      <c r="D9" s="199">
        <v>5.2000000000000005E-2</v>
      </c>
      <c r="E9" s="86">
        <v>0</v>
      </c>
      <c r="H9" s="10" t="s">
        <v>87</v>
      </c>
      <c r="I9" s="11">
        <v>8.8213887636039174E-3</v>
      </c>
    </row>
    <row r="10" spans="1:13" ht="15" thickBot="1" x14ac:dyDescent="0.4">
      <c r="A10" s="203">
        <v>32782</v>
      </c>
      <c r="B10" s="199">
        <v>8.8399999999999992E-2</v>
      </c>
      <c r="C10" s="199">
        <v>4.5871559633027519E-2</v>
      </c>
      <c r="D10" s="199">
        <v>5.4000000000000006E-2</v>
      </c>
      <c r="E10" s="86">
        <v>0</v>
      </c>
      <c r="H10" s="12" t="s">
        <v>88</v>
      </c>
      <c r="I10" s="13">
        <v>77</v>
      </c>
    </row>
    <row r="11" spans="1:13" x14ac:dyDescent="0.35">
      <c r="A11" s="203">
        <v>32874</v>
      </c>
      <c r="B11" s="199">
        <v>8.2299999999999998E-2</v>
      </c>
      <c r="C11" s="199">
        <v>5.1980198019801957E-2</v>
      </c>
      <c r="D11" s="199">
        <v>5.2999999999999999E-2</v>
      </c>
      <c r="E11" s="86">
        <v>0</v>
      </c>
    </row>
    <row r="12" spans="1:13" ht="15" thickBot="1" x14ac:dyDescent="0.4">
      <c r="A12" s="203">
        <v>32964</v>
      </c>
      <c r="B12" s="199">
        <v>8.2599999999999993E-2</v>
      </c>
      <c r="C12" s="199">
        <v>4.7116165718927794E-2</v>
      </c>
      <c r="D12" s="199">
        <v>5.2999999999999999E-2</v>
      </c>
      <c r="E12" s="86">
        <v>0</v>
      </c>
      <c r="H12" t="s">
        <v>89</v>
      </c>
    </row>
    <row r="13" spans="1:13" x14ac:dyDescent="0.35">
      <c r="A13" s="203">
        <v>33055</v>
      </c>
      <c r="B13" s="199">
        <v>8.1500000000000003E-2</v>
      </c>
      <c r="C13" s="199">
        <v>4.8192771084337352E-2</v>
      </c>
      <c r="D13" s="199">
        <v>5.7000000000000002E-2</v>
      </c>
      <c r="E13" s="86">
        <v>0</v>
      </c>
      <c r="H13" s="14"/>
      <c r="I13" s="6" t="s">
        <v>94</v>
      </c>
      <c r="J13" s="6" t="s">
        <v>95</v>
      </c>
      <c r="K13" s="6" t="s">
        <v>96</v>
      </c>
      <c r="L13" s="6" t="s">
        <v>51</v>
      </c>
      <c r="M13" s="15" t="s">
        <v>97</v>
      </c>
    </row>
    <row r="14" spans="1:13" x14ac:dyDescent="0.35">
      <c r="A14" s="203">
        <v>33147</v>
      </c>
      <c r="B14" s="199">
        <v>8.1099999999999992E-2</v>
      </c>
      <c r="C14" s="199">
        <v>6.3795853269537475E-2</v>
      </c>
      <c r="D14" s="199">
        <v>6.0999999999999999E-2</v>
      </c>
      <c r="E14" s="86">
        <v>0</v>
      </c>
      <c r="H14" s="10" t="s">
        <v>90</v>
      </c>
      <c r="I14">
        <v>3</v>
      </c>
      <c r="J14">
        <v>3.1758353073786216E-2</v>
      </c>
      <c r="K14">
        <v>1.0586117691262073E-2</v>
      </c>
      <c r="L14">
        <v>136.03880043458807</v>
      </c>
      <c r="M14" s="11">
        <v>8.1747720353880586E-30</v>
      </c>
    </row>
    <row r="15" spans="1:13" x14ac:dyDescent="0.35">
      <c r="A15" s="203">
        <v>33239</v>
      </c>
      <c r="B15" s="199">
        <v>6.9099999999999995E-2</v>
      </c>
      <c r="C15" s="199">
        <v>5.6470588235294029E-2</v>
      </c>
      <c r="D15" s="199">
        <v>6.6000000000000003E-2</v>
      </c>
      <c r="E15" s="86">
        <v>0</v>
      </c>
      <c r="H15" s="10" t="s">
        <v>91</v>
      </c>
      <c r="I15">
        <v>73</v>
      </c>
      <c r="J15">
        <v>5.6806336794605339E-3</v>
      </c>
      <c r="K15">
        <v>7.7816899718637444E-5</v>
      </c>
      <c r="M15" s="11"/>
    </row>
    <row r="16" spans="1:13" ht="15" thickBot="1" x14ac:dyDescent="0.4">
      <c r="A16" s="203">
        <v>33329</v>
      </c>
      <c r="B16" s="199">
        <v>5.91E-2</v>
      </c>
      <c r="C16" s="199">
        <v>4.8099301784328849E-2</v>
      </c>
      <c r="D16" s="199">
        <v>6.8000000000000005E-2</v>
      </c>
      <c r="E16" s="86">
        <v>0</v>
      </c>
      <c r="H16" s="12" t="s">
        <v>92</v>
      </c>
      <c r="I16" s="5">
        <v>76</v>
      </c>
      <c r="J16" s="5">
        <v>3.743898675324675E-2</v>
      </c>
      <c r="K16" s="5"/>
      <c r="L16" s="5"/>
      <c r="M16" s="13"/>
    </row>
    <row r="17" spans="1:16" ht="15" thickBot="1" x14ac:dyDescent="0.4">
      <c r="A17" s="203">
        <v>33420</v>
      </c>
      <c r="B17" s="199">
        <v>5.8200000000000002E-2</v>
      </c>
      <c r="C17" s="199">
        <v>4.3678160919540146E-2</v>
      </c>
      <c r="D17" s="199">
        <v>6.9000000000000006E-2</v>
      </c>
      <c r="E17" s="86">
        <v>0</v>
      </c>
    </row>
    <row r="18" spans="1:16" x14ac:dyDescent="0.35">
      <c r="A18" s="203">
        <v>33512</v>
      </c>
      <c r="B18" s="199">
        <v>5.21E-2</v>
      </c>
      <c r="C18" s="199">
        <v>2.8485757121439151E-2</v>
      </c>
      <c r="D18" s="199">
        <v>7.0999999999999994E-2</v>
      </c>
      <c r="E18" s="86">
        <v>0</v>
      </c>
      <c r="H18" s="14"/>
      <c r="I18" s="6" t="s">
        <v>98</v>
      </c>
      <c r="J18" s="6" t="s">
        <v>87</v>
      </c>
      <c r="K18" s="6" t="s">
        <v>99</v>
      </c>
      <c r="L18" s="6" t="s">
        <v>100</v>
      </c>
      <c r="M18" s="6" t="s">
        <v>101</v>
      </c>
      <c r="N18" s="6" t="s">
        <v>102</v>
      </c>
      <c r="O18" s="6" t="s">
        <v>103</v>
      </c>
      <c r="P18" s="15" t="s">
        <v>104</v>
      </c>
    </row>
    <row r="19" spans="1:16" x14ac:dyDescent="0.35">
      <c r="A19" s="203">
        <v>33604</v>
      </c>
      <c r="B19" s="199">
        <v>4.0300000000000002E-2</v>
      </c>
      <c r="C19" s="199">
        <v>2.6726057906458968E-2</v>
      </c>
      <c r="D19" s="199">
        <v>7.400000000000001E-2</v>
      </c>
      <c r="E19" s="86">
        <v>0</v>
      </c>
      <c r="H19" s="10" t="s">
        <v>93</v>
      </c>
      <c r="I19" s="16">
        <v>9.2081226159659413E-2</v>
      </c>
      <c r="J19">
        <v>7.1822845038118721E-3</v>
      </c>
      <c r="K19">
        <v>12.820604100379052</v>
      </c>
      <c r="L19">
        <v>2.2617290007090582E-20</v>
      </c>
      <c r="M19">
        <v>7.7766953786239101E-2</v>
      </c>
      <c r="N19">
        <v>0.10639549853307972</v>
      </c>
      <c r="O19">
        <v>7.7766953786239101E-2</v>
      </c>
      <c r="P19" s="11">
        <v>0.10639549853307972</v>
      </c>
    </row>
    <row r="20" spans="1:16" x14ac:dyDescent="0.35">
      <c r="A20" s="203">
        <v>33695</v>
      </c>
      <c r="B20" s="199">
        <v>3.73E-2</v>
      </c>
      <c r="C20" s="199">
        <v>3.1828275351591502E-2</v>
      </c>
      <c r="D20" s="199">
        <v>7.5999999999999998E-2</v>
      </c>
      <c r="E20" s="86">
        <v>0</v>
      </c>
      <c r="H20" s="10" t="s">
        <v>110</v>
      </c>
      <c r="I20" s="16">
        <v>1.1987901634756433</v>
      </c>
      <c r="J20">
        <v>9.5389723298906645E-2</v>
      </c>
      <c r="K20">
        <v>12.567288404005506</v>
      </c>
      <c r="L20">
        <v>6.2007981447640136E-20</v>
      </c>
      <c r="M20">
        <v>1.0086787191014936</v>
      </c>
      <c r="N20">
        <v>1.3889016078497929</v>
      </c>
      <c r="O20">
        <v>1.0086787191014936</v>
      </c>
      <c r="P20" s="11">
        <v>1.3889016078497929</v>
      </c>
    </row>
    <row r="21" spans="1:16" ht="15" thickBot="1" x14ac:dyDescent="0.4">
      <c r="A21" s="203">
        <v>33786</v>
      </c>
      <c r="B21" s="199">
        <v>3.2500000000000001E-2</v>
      </c>
      <c r="C21" s="199">
        <v>3.1571218795888485E-2</v>
      </c>
      <c r="D21" s="199">
        <v>7.5999999999999998E-2</v>
      </c>
      <c r="E21" s="86">
        <v>0</v>
      </c>
      <c r="H21" s="12" t="s">
        <v>114</v>
      </c>
      <c r="I21" s="16">
        <v>-1.304185757812349</v>
      </c>
      <c r="J21">
        <v>0.11570323816663422</v>
      </c>
      <c r="K21">
        <v>-11.271817266981573</v>
      </c>
      <c r="L21">
        <v>1.2120607593648237E-17</v>
      </c>
      <c r="M21">
        <v>-1.5347819789346007</v>
      </c>
      <c r="N21">
        <v>-1.0735895366900974</v>
      </c>
      <c r="O21">
        <v>-1.5347819789346007</v>
      </c>
      <c r="P21" s="11">
        <v>-1.0735895366900974</v>
      </c>
    </row>
    <row r="22" spans="1:16" ht="15" thickBot="1" x14ac:dyDescent="0.4">
      <c r="A22" s="203">
        <v>33878</v>
      </c>
      <c r="B22" s="199">
        <v>3.1E-2</v>
      </c>
      <c r="C22" s="199">
        <v>3.2798833819241986E-2</v>
      </c>
      <c r="D22" s="199">
        <v>7.400000000000001E-2</v>
      </c>
      <c r="E22" s="86">
        <v>0</v>
      </c>
      <c r="H22" s="12" t="s">
        <v>115</v>
      </c>
      <c r="I22" s="17">
        <v>-2.6720401181567762E-2</v>
      </c>
      <c r="J22" s="5">
        <v>2.2502874099798093E-3</v>
      </c>
      <c r="K22" s="5">
        <v>-11.874217072479427</v>
      </c>
      <c r="L22" s="5">
        <v>1.0182218220031856E-18</v>
      </c>
      <c r="M22" s="5">
        <v>-3.1205217522083651E-2</v>
      </c>
      <c r="N22" s="5">
        <v>-2.2235584841051873E-2</v>
      </c>
      <c r="O22" s="5">
        <v>-3.1205217522083651E-2</v>
      </c>
      <c r="P22" s="13">
        <v>-2.2235584841051873E-2</v>
      </c>
    </row>
    <row r="23" spans="1:16" x14ac:dyDescent="0.35">
      <c r="A23" s="203">
        <v>33970</v>
      </c>
      <c r="B23" s="199">
        <v>3.0200000000000001E-2</v>
      </c>
      <c r="C23" s="199">
        <v>3.2537960954446853E-2</v>
      </c>
      <c r="D23" s="199">
        <v>7.0999999999999994E-2</v>
      </c>
      <c r="E23" s="86">
        <v>0</v>
      </c>
    </row>
    <row r="24" spans="1:16" x14ac:dyDescent="0.35">
      <c r="A24" s="203">
        <v>34060</v>
      </c>
      <c r="B24" s="199">
        <v>2.9600000000000001E-2</v>
      </c>
      <c r="C24" s="199">
        <v>3.1563845050215249E-2</v>
      </c>
      <c r="D24" s="199">
        <v>7.0999999999999994E-2</v>
      </c>
      <c r="E24" s="86">
        <v>0</v>
      </c>
    </row>
    <row r="25" spans="1:16" x14ac:dyDescent="0.35">
      <c r="A25" s="203">
        <v>34151</v>
      </c>
      <c r="B25" s="199">
        <v>3.0600000000000002E-2</v>
      </c>
      <c r="C25" s="199">
        <v>2.8469750889679714E-2</v>
      </c>
      <c r="D25" s="199">
        <v>6.8000000000000005E-2</v>
      </c>
      <c r="E25" s="86">
        <v>0</v>
      </c>
    </row>
    <row r="26" spans="1:16" x14ac:dyDescent="0.35">
      <c r="A26" s="203">
        <v>34243</v>
      </c>
      <c r="B26" s="199">
        <v>2.9900000000000003E-2</v>
      </c>
      <c r="C26" s="199">
        <v>2.7522935779816557E-2</v>
      </c>
      <c r="D26" s="199">
        <v>6.6000000000000003E-2</v>
      </c>
      <c r="E26" s="86">
        <v>0</v>
      </c>
    </row>
    <row r="27" spans="1:16" x14ac:dyDescent="0.35">
      <c r="A27" s="203">
        <v>34335</v>
      </c>
      <c r="B27" s="199">
        <v>3.0499999999999999E-2</v>
      </c>
      <c r="C27" s="199">
        <v>2.4509803921568627E-2</v>
      </c>
      <c r="D27" s="199">
        <v>6.6000000000000003E-2</v>
      </c>
      <c r="E27" s="86">
        <v>0</v>
      </c>
    </row>
    <row r="28" spans="1:16" x14ac:dyDescent="0.35">
      <c r="A28" s="203">
        <v>34425</v>
      </c>
      <c r="B28" s="199">
        <v>3.56E-2</v>
      </c>
      <c r="C28" s="199">
        <v>2.3643949930458812E-2</v>
      </c>
      <c r="D28" s="199">
        <v>6.2E-2</v>
      </c>
      <c r="E28" s="86">
        <v>0</v>
      </c>
    </row>
    <row r="29" spans="1:16" x14ac:dyDescent="0.35">
      <c r="A29" s="203">
        <v>34516</v>
      </c>
      <c r="B29" s="199">
        <v>4.2599999999999999E-2</v>
      </c>
      <c r="C29" s="199">
        <v>2.6989619377162669E-2</v>
      </c>
      <c r="D29" s="199">
        <v>0.06</v>
      </c>
      <c r="E29" s="86">
        <v>0</v>
      </c>
    </row>
    <row r="30" spans="1:16" x14ac:dyDescent="0.35">
      <c r="A30" s="203">
        <v>34608</v>
      </c>
      <c r="B30" s="199">
        <v>4.7599999999999996E-2</v>
      </c>
      <c r="C30" s="199">
        <v>2.609890109890118E-2</v>
      </c>
      <c r="D30" s="199">
        <v>5.5999999999999994E-2</v>
      </c>
      <c r="E30" s="86">
        <v>0</v>
      </c>
    </row>
    <row r="31" spans="1:16" x14ac:dyDescent="0.35">
      <c r="A31" s="203">
        <v>34700</v>
      </c>
      <c r="B31" s="199">
        <v>5.5300000000000002E-2</v>
      </c>
      <c r="C31" s="199">
        <v>2.8708133971291787E-2</v>
      </c>
      <c r="D31" s="199">
        <v>5.5E-2</v>
      </c>
      <c r="E31" s="86">
        <v>0</v>
      </c>
    </row>
    <row r="32" spans="1:16" x14ac:dyDescent="0.35">
      <c r="A32" s="203">
        <v>34790</v>
      </c>
      <c r="B32" s="199">
        <v>6.0499999999999998E-2</v>
      </c>
      <c r="C32" s="199">
        <v>3.125000000000016E-2</v>
      </c>
      <c r="D32" s="199">
        <v>5.7000000000000002E-2</v>
      </c>
      <c r="E32" s="86">
        <v>0</v>
      </c>
    </row>
    <row r="33" spans="1:5" x14ac:dyDescent="0.35">
      <c r="A33" s="203">
        <v>34881</v>
      </c>
      <c r="B33" s="199">
        <v>5.8499999999999996E-2</v>
      </c>
      <c r="C33" s="199">
        <v>2.8301886792452751E-2</v>
      </c>
      <c r="D33" s="199">
        <v>5.7000000000000002E-2</v>
      </c>
      <c r="E33" s="86">
        <v>0</v>
      </c>
    </row>
    <row r="34" spans="1:5" x14ac:dyDescent="0.35">
      <c r="A34" s="203">
        <v>34973</v>
      </c>
      <c r="B34" s="199">
        <v>5.7599999999999998E-2</v>
      </c>
      <c r="C34" s="199">
        <v>2.7443105756358728E-2</v>
      </c>
      <c r="D34" s="199">
        <v>5.5999999999999994E-2</v>
      </c>
      <c r="E34" s="86">
        <v>0</v>
      </c>
    </row>
    <row r="35" spans="1:5" x14ac:dyDescent="0.35">
      <c r="A35" s="203">
        <v>35065</v>
      </c>
      <c r="B35" s="199">
        <v>5.5599999999999997E-2</v>
      </c>
      <c r="C35" s="199">
        <v>2.790697674418597E-2</v>
      </c>
      <c r="D35" s="199">
        <v>5.5E-2</v>
      </c>
      <c r="E35" s="86">
        <v>0</v>
      </c>
    </row>
    <row r="36" spans="1:5" x14ac:dyDescent="0.35">
      <c r="A36" s="203">
        <v>35156</v>
      </c>
      <c r="B36" s="199">
        <v>5.2199999999999996E-2</v>
      </c>
      <c r="C36" s="199">
        <v>2.832674571804995E-2</v>
      </c>
      <c r="D36" s="199">
        <v>5.5E-2</v>
      </c>
      <c r="E36" s="86">
        <v>0</v>
      </c>
    </row>
    <row r="37" spans="1:5" x14ac:dyDescent="0.35">
      <c r="A37" s="203">
        <v>35247</v>
      </c>
      <c r="B37" s="199">
        <v>5.4000000000000006E-2</v>
      </c>
      <c r="C37" s="199">
        <v>2.8833551769331625E-2</v>
      </c>
      <c r="D37" s="199">
        <v>5.2999999999999999E-2</v>
      </c>
      <c r="E37" s="86">
        <v>0</v>
      </c>
    </row>
    <row r="38" spans="1:5" x14ac:dyDescent="0.35">
      <c r="A38" s="203">
        <v>35339</v>
      </c>
      <c r="B38" s="199">
        <v>5.2400000000000002E-2</v>
      </c>
      <c r="C38" s="199">
        <v>3.0618892508143248E-2</v>
      </c>
      <c r="D38" s="199">
        <v>5.2999999999999999E-2</v>
      </c>
      <c r="E38" s="86">
        <v>0</v>
      </c>
    </row>
    <row r="39" spans="1:5" x14ac:dyDescent="0.35">
      <c r="A39" s="203">
        <v>35431</v>
      </c>
      <c r="B39" s="199">
        <v>5.2499999999999998E-2</v>
      </c>
      <c r="C39" s="199">
        <v>3.0381383322559907E-2</v>
      </c>
      <c r="D39" s="199">
        <v>5.2000000000000005E-2</v>
      </c>
      <c r="E39" s="86">
        <v>0</v>
      </c>
    </row>
    <row r="40" spans="1:5" x14ac:dyDescent="0.35">
      <c r="A40" s="203">
        <v>35521</v>
      </c>
      <c r="B40" s="199">
        <v>5.5099999999999996E-2</v>
      </c>
      <c r="C40" s="199">
        <v>2.4343369634849531E-2</v>
      </c>
      <c r="D40" s="199">
        <v>0.05</v>
      </c>
      <c r="E40" s="86">
        <v>0</v>
      </c>
    </row>
    <row r="41" spans="1:5" x14ac:dyDescent="0.35">
      <c r="A41" s="203">
        <v>35612</v>
      </c>
      <c r="B41" s="199">
        <v>5.5199999999999999E-2</v>
      </c>
      <c r="C41" s="199">
        <v>2.165605095541405E-2</v>
      </c>
      <c r="D41" s="199">
        <v>4.9000000000000002E-2</v>
      </c>
      <c r="E41" s="86">
        <v>0</v>
      </c>
    </row>
    <row r="42" spans="1:5" x14ac:dyDescent="0.35">
      <c r="A42" s="203">
        <v>35704</v>
      </c>
      <c r="B42" s="199">
        <v>5.5E-2</v>
      </c>
      <c r="C42" s="199">
        <v>2.0859671302149253E-2</v>
      </c>
      <c r="D42" s="199">
        <v>4.7E-2</v>
      </c>
      <c r="E42" s="86">
        <v>0</v>
      </c>
    </row>
    <row r="43" spans="1:5" x14ac:dyDescent="0.35">
      <c r="A43" s="203">
        <v>35796</v>
      </c>
      <c r="B43" s="199">
        <v>5.5599999999999997E-2</v>
      </c>
      <c r="C43" s="199">
        <v>1.6311166875784155E-2</v>
      </c>
      <c r="D43" s="199">
        <v>4.5999999999999999E-2</v>
      </c>
      <c r="E43" s="86">
        <v>0</v>
      </c>
    </row>
    <row r="44" spans="1:5" x14ac:dyDescent="0.35">
      <c r="A44" s="203">
        <v>35886</v>
      </c>
      <c r="B44" s="199">
        <v>5.45E-2</v>
      </c>
      <c r="C44" s="199">
        <v>1.4383989993745985E-2</v>
      </c>
      <c r="D44" s="199">
        <v>4.4000000000000004E-2</v>
      </c>
      <c r="E44" s="86">
        <v>0</v>
      </c>
    </row>
    <row r="45" spans="1:5" x14ac:dyDescent="0.35">
      <c r="A45" s="203">
        <v>35977</v>
      </c>
      <c r="B45" s="199">
        <v>5.5399999999999998E-2</v>
      </c>
      <c r="C45" s="199">
        <v>1.7456359102244284E-2</v>
      </c>
      <c r="D45" s="199">
        <v>4.4999999999999998E-2</v>
      </c>
      <c r="E45" s="86">
        <v>0</v>
      </c>
    </row>
    <row r="46" spans="1:5" x14ac:dyDescent="0.35">
      <c r="A46" s="203">
        <v>36069</v>
      </c>
      <c r="B46" s="199">
        <v>5.0700000000000002E-2</v>
      </c>
      <c r="C46" s="199">
        <v>1.4860681114551119E-2</v>
      </c>
      <c r="D46" s="199">
        <v>4.4000000000000004E-2</v>
      </c>
      <c r="E46" s="86">
        <v>0</v>
      </c>
    </row>
    <row r="47" spans="1:5" x14ac:dyDescent="0.35">
      <c r="A47" s="203">
        <v>36161</v>
      </c>
      <c r="B47" s="199">
        <v>4.6300000000000001E-2</v>
      </c>
      <c r="C47" s="199">
        <v>1.6666666666666597E-2</v>
      </c>
      <c r="D47" s="199">
        <v>4.2999999999999997E-2</v>
      </c>
      <c r="E47" s="86">
        <v>0</v>
      </c>
    </row>
    <row r="48" spans="1:5" x14ac:dyDescent="0.35">
      <c r="A48" s="203">
        <v>36251</v>
      </c>
      <c r="B48" s="199">
        <v>4.7400000000000005E-2</v>
      </c>
      <c r="C48" s="199">
        <v>2.2811344019728837E-2</v>
      </c>
      <c r="D48" s="199">
        <v>4.2999999999999997E-2</v>
      </c>
      <c r="E48" s="86">
        <v>0</v>
      </c>
    </row>
    <row r="49" spans="1:5" x14ac:dyDescent="0.35">
      <c r="A49" s="203">
        <v>36342</v>
      </c>
      <c r="B49" s="199">
        <v>4.99E-2</v>
      </c>
      <c r="C49" s="199">
        <v>2.1446078431372549E-2</v>
      </c>
      <c r="D49" s="199">
        <v>4.2000000000000003E-2</v>
      </c>
      <c r="E49" s="86">
        <v>0</v>
      </c>
    </row>
    <row r="50" spans="1:5" x14ac:dyDescent="0.35">
      <c r="A50" s="203">
        <v>36434</v>
      </c>
      <c r="B50" s="199">
        <v>5.2000000000000005E-2</v>
      </c>
      <c r="C50" s="199">
        <v>2.5625381330079248E-2</v>
      </c>
      <c r="D50" s="199">
        <v>4.0999999999999995E-2</v>
      </c>
      <c r="E50" s="86">
        <v>0</v>
      </c>
    </row>
    <row r="51" spans="1:5" x14ac:dyDescent="0.35">
      <c r="A51" s="203">
        <v>36526</v>
      </c>
      <c r="B51" s="199">
        <v>5.45E-2</v>
      </c>
      <c r="C51" s="199">
        <v>2.792956891317561E-2</v>
      </c>
      <c r="D51" s="199">
        <v>0.04</v>
      </c>
      <c r="E51" s="86">
        <v>1</v>
      </c>
    </row>
    <row r="52" spans="1:5" x14ac:dyDescent="0.35">
      <c r="A52" s="203">
        <v>36617</v>
      </c>
      <c r="B52" s="199">
        <v>6.0199999999999997E-2</v>
      </c>
      <c r="C52" s="199">
        <v>3.013863773357444E-2</v>
      </c>
      <c r="D52" s="199">
        <v>3.9E-2</v>
      </c>
      <c r="E52" s="86">
        <v>1</v>
      </c>
    </row>
    <row r="53" spans="1:5" x14ac:dyDescent="0.35">
      <c r="A53" s="203">
        <v>36708</v>
      </c>
      <c r="B53" s="199">
        <v>6.54E-2</v>
      </c>
      <c r="C53" s="199">
        <v>3.5992801439712063E-2</v>
      </c>
      <c r="D53" s="199">
        <v>0.04</v>
      </c>
      <c r="E53" s="86">
        <v>1</v>
      </c>
    </row>
    <row r="54" spans="1:5" x14ac:dyDescent="0.35">
      <c r="A54" s="203">
        <v>36800</v>
      </c>
      <c r="B54" s="199">
        <v>6.5099999999999991E-2</v>
      </c>
      <c r="C54" s="199">
        <v>3.4503271861986984E-2</v>
      </c>
      <c r="D54" s="199">
        <v>3.9E-2</v>
      </c>
      <c r="E54" s="86">
        <v>1</v>
      </c>
    </row>
    <row r="55" spans="1:5" x14ac:dyDescent="0.35">
      <c r="A55" s="203">
        <v>36892</v>
      </c>
      <c r="B55" s="199">
        <v>5.9800000000000006E-2</v>
      </c>
      <c r="C55" s="199">
        <v>3.7212049616066049E-2</v>
      </c>
      <c r="D55" s="199">
        <v>4.2000000000000003E-2</v>
      </c>
      <c r="E55" s="86">
        <v>1</v>
      </c>
    </row>
    <row r="56" spans="1:5" x14ac:dyDescent="0.35">
      <c r="A56" s="203">
        <v>36982</v>
      </c>
      <c r="B56" s="199">
        <v>4.8000000000000001E-2</v>
      </c>
      <c r="C56" s="199">
        <v>3.2182562902282039E-2</v>
      </c>
      <c r="D56" s="199">
        <v>4.4000000000000004E-2</v>
      </c>
      <c r="E56" s="86">
        <v>1</v>
      </c>
    </row>
    <row r="57" spans="1:5" x14ac:dyDescent="0.35">
      <c r="A57" s="203">
        <v>37073</v>
      </c>
      <c r="B57" s="199">
        <v>3.7699999999999997E-2</v>
      </c>
      <c r="C57" s="199">
        <v>2.7214823393167442E-2</v>
      </c>
      <c r="D57" s="199">
        <v>4.8000000000000001E-2</v>
      </c>
      <c r="E57" s="86">
        <v>1</v>
      </c>
    </row>
    <row r="58" spans="1:5" x14ac:dyDescent="0.35">
      <c r="A58" s="203">
        <v>37165</v>
      </c>
      <c r="B58" s="199">
        <v>2.4900000000000002E-2</v>
      </c>
      <c r="C58" s="199">
        <v>2.1276595744680785E-2</v>
      </c>
      <c r="D58" s="199">
        <v>5.5E-2</v>
      </c>
      <c r="E58" s="86">
        <v>1</v>
      </c>
    </row>
    <row r="59" spans="1:5" x14ac:dyDescent="0.35">
      <c r="A59" s="203">
        <v>37257</v>
      </c>
      <c r="B59" s="199">
        <v>1.7299999999999999E-2</v>
      </c>
      <c r="C59" s="199">
        <v>1.1958997722095639E-2</v>
      </c>
      <c r="D59" s="199">
        <v>5.7000000000000002E-2</v>
      </c>
      <c r="E59" s="86">
        <v>1</v>
      </c>
    </row>
    <row r="60" spans="1:5" x14ac:dyDescent="0.35">
      <c r="A60" s="203">
        <v>37347</v>
      </c>
      <c r="B60" s="199">
        <v>1.7500000000000002E-2</v>
      </c>
      <c r="C60" s="199">
        <v>1.6439909297052187E-2</v>
      </c>
      <c r="D60" s="199">
        <v>5.7999999999999996E-2</v>
      </c>
      <c r="E60" s="86">
        <v>1</v>
      </c>
    </row>
    <row r="61" spans="1:5" x14ac:dyDescent="0.35">
      <c r="A61" s="203">
        <v>37438</v>
      </c>
      <c r="B61" s="199">
        <v>1.7299999999999999E-2</v>
      </c>
      <c r="C61" s="199">
        <v>1.4656144306651603E-2</v>
      </c>
      <c r="D61" s="199">
        <v>5.7000000000000002E-2</v>
      </c>
      <c r="E61" s="86">
        <v>1</v>
      </c>
    </row>
    <row r="62" spans="1:5" x14ac:dyDescent="0.35">
      <c r="A62" s="203">
        <v>37530</v>
      </c>
      <c r="B62" s="199">
        <v>1.7500000000000002E-2</v>
      </c>
      <c r="C62" s="199">
        <v>2.027027027027024E-2</v>
      </c>
      <c r="D62" s="199">
        <v>5.9000000000000004E-2</v>
      </c>
      <c r="E62" s="86">
        <v>1</v>
      </c>
    </row>
    <row r="63" spans="1:5" x14ac:dyDescent="0.35">
      <c r="A63" s="203">
        <v>37622</v>
      </c>
      <c r="B63" s="199">
        <v>1.24E-2</v>
      </c>
      <c r="C63" s="199">
        <v>2.5886325267304576E-2</v>
      </c>
      <c r="D63" s="199">
        <v>5.9000000000000004E-2</v>
      </c>
      <c r="E63" s="86">
        <v>1</v>
      </c>
    </row>
    <row r="64" spans="1:5" x14ac:dyDescent="0.35">
      <c r="A64" s="203">
        <v>37712</v>
      </c>
      <c r="B64" s="199">
        <v>1.26E-2</v>
      </c>
      <c r="C64" s="199">
        <v>2.2308979364194088E-2</v>
      </c>
      <c r="D64" s="199">
        <v>6.0999999999999999E-2</v>
      </c>
      <c r="E64" s="86">
        <v>1</v>
      </c>
    </row>
    <row r="65" spans="1:5" x14ac:dyDescent="0.35">
      <c r="A65" s="203">
        <v>37803</v>
      </c>
      <c r="B65" s="199">
        <v>1.01E-2</v>
      </c>
      <c r="C65" s="199">
        <v>2.1111111111111174E-2</v>
      </c>
      <c r="D65" s="199">
        <v>6.0999999999999999E-2</v>
      </c>
      <c r="E65" s="86">
        <v>1</v>
      </c>
    </row>
    <row r="66" spans="1:5" x14ac:dyDescent="0.35">
      <c r="A66" s="203">
        <v>37895</v>
      </c>
      <c r="B66" s="199">
        <v>1.01E-2</v>
      </c>
      <c r="C66" s="199">
        <v>2.0419426048565215E-2</v>
      </c>
      <c r="D66" s="199">
        <v>5.7999999999999996E-2</v>
      </c>
      <c r="E66" s="86">
        <v>1</v>
      </c>
    </row>
    <row r="67" spans="1:5" x14ac:dyDescent="0.35">
      <c r="A67" s="203">
        <v>37987</v>
      </c>
      <c r="B67" s="199">
        <v>0.01</v>
      </c>
      <c r="C67" s="199">
        <v>1.9747668678003257E-2</v>
      </c>
      <c r="D67" s="199">
        <v>5.7000000000000002E-2</v>
      </c>
      <c r="E67" s="86">
        <v>1</v>
      </c>
    </row>
    <row r="68" spans="1:5" x14ac:dyDescent="0.35">
      <c r="A68" s="203">
        <v>38078</v>
      </c>
      <c r="B68" s="199">
        <v>0.01</v>
      </c>
      <c r="C68" s="199">
        <v>2.2913256955810084E-2</v>
      </c>
      <c r="D68" s="199">
        <v>5.5999999999999994E-2</v>
      </c>
      <c r="E68" s="86">
        <v>1</v>
      </c>
    </row>
    <row r="69" spans="1:5" x14ac:dyDescent="0.35">
      <c r="A69" s="203">
        <v>38169</v>
      </c>
      <c r="B69" s="199">
        <v>1.26E-2</v>
      </c>
      <c r="C69" s="199">
        <v>2.9923830250272034E-2</v>
      </c>
      <c r="D69" s="199">
        <v>5.4000000000000006E-2</v>
      </c>
      <c r="E69" s="86">
        <v>1</v>
      </c>
    </row>
    <row r="70" spans="1:5" x14ac:dyDescent="0.35">
      <c r="A70" s="203">
        <v>38261</v>
      </c>
      <c r="B70" s="199">
        <v>1.7600000000000001E-2</v>
      </c>
      <c r="C70" s="199">
        <v>3.190914007571663E-2</v>
      </c>
      <c r="D70" s="199">
        <v>5.4000000000000006E-2</v>
      </c>
      <c r="E70" s="86">
        <v>1</v>
      </c>
    </row>
    <row r="71" spans="1:5" x14ac:dyDescent="0.35">
      <c r="A71" s="203">
        <v>38353</v>
      </c>
      <c r="B71" s="199">
        <v>2.2799999999999997E-2</v>
      </c>
      <c r="C71" s="199">
        <v>2.9047875201721387E-2</v>
      </c>
      <c r="D71" s="199">
        <v>5.2999999999999999E-2</v>
      </c>
      <c r="E71" s="86">
        <v>1</v>
      </c>
    </row>
    <row r="72" spans="1:5" x14ac:dyDescent="0.35">
      <c r="A72" s="203">
        <v>38443</v>
      </c>
      <c r="B72" s="199">
        <v>2.7900000000000001E-2</v>
      </c>
      <c r="C72" s="199">
        <v>3.4133333333333363E-2</v>
      </c>
      <c r="D72" s="199">
        <v>5.0999999999999997E-2</v>
      </c>
      <c r="E72" s="86">
        <v>1</v>
      </c>
    </row>
    <row r="73" spans="1:5" x14ac:dyDescent="0.35">
      <c r="A73" s="203">
        <v>38534</v>
      </c>
      <c r="B73" s="199">
        <v>3.2599999999999997E-2</v>
      </c>
      <c r="C73" s="199">
        <v>3.0639197041732607E-2</v>
      </c>
      <c r="D73" s="199">
        <v>0.05</v>
      </c>
      <c r="E73" s="86">
        <v>1</v>
      </c>
    </row>
    <row r="74" spans="1:5" x14ac:dyDescent="0.35">
      <c r="A74" s="203">
        <v>38626</v>
      </c>
      <c r="B74" s="199">
        <v>3.78E-2</v>
      </c>
      <c r="C74" s="199">
        <v>4.4025157232704282E-2</v>
      </c>
      <c r="D74" s="199">
        <v>0.05</v>
      </c>
      <c r="E74" s="86">
        <v>1</v>
      </c>
    </row>
    <row r="75" spans="1:5" x14ac:dyDescent="0.35">
      <c r="A75" s="203">
        <v>38718</v>
      </c>
      <c r="B75" s="199">
        <v>4.2900000000000001E-2</v>
      </c>
      <c r="C75" s="199">
        <v>4.0250914793517972E-2</v>
      </c>
      <c r="D75" s="199">
        <v>4.7E-2</v>
      </c>
      <c r="E75" s="86">
        <v>1</v>
      </c>
    </row>
    <row r="76" spans="1:5" x14ac:dyDescent="0.35">
      <c r="A76" s="203">
        <v>38808</v>
      </c>
      <c r="B76" s="199">
        <v>4.7899999999999998E-2</v>
      </c>
      <c r="C76" s="199">
        <v>3.5585353274883991E-2</v>
      </c>
      <c r="D76" s="199">
        <v>4.5999999999999999E-2</v>
      </c>
      <c r="E76" s="86">
        <v>1</v>
      </c>
    </row>
    <row r="77" spans="1:5" x14ac:dyDescent="0.35">
      <c r="A77" s="203">
        <v>38899</v>
      </c>
      <c r="B77" s="199">
        <v>5.2400000000000002E-2</v>
      </c>
      <c r="C77" s="199">
        <v>4.1517170681701666E-2</v>
      </c>
      <c r="D77" s="199">
        <v>4.5999999999999999E-2</v>
      </c>
      <c r="E77" s="86">
        <v>1</v>
      </c>
    </row>
    <row r="78" spans="1:5" ht="15" thickBot="1" x14ac:dyDescent="0.4">
      <c r="A78" s="204">
        <v>38991</v>
      </c>
      <c r="B78" s="202">
        <v>5.2499999999999998E-2</v>
      </c>
      <c r="C78" s="202">
        <v>1.3052208835341481E-2</v>
      </c>
      <c r="D78" s="202">
        <v>4.4000000000000004E-2</v>
      </c>
      <c r="E78" s="92">
        <v>1</v>
      </c>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F92394-11F6-42DC-B530-00229A2BB245}">
  <sheetPr codeName="Sheet26">
    <tabColor rgb="FFFF0000"/>
  </sheetPr>
  <dimension ref="F1:H2"/>
  <sheetViews>
    <sheetView workbookViewId="0">
      <selection activeCell="E2" sqref="E2"/>
    </sheetView>
  </sheetViews>
  <sheetFormatPr defaultRowHeight="14.5" x14ac:dyDescent="0.35"/>
  <sheetData>
    <row r="1" spans="6:8" x14ac:dyDescent="0.35">
      <c r="F1" s="206" t="s">
        <v>134</v>
      </c>
      <c r="G1" s="207"/>
      <c r="H1" s="208"/>
    </row>
    <row r="2" spans="6:8" ht="15" thickBot="1" x14ac:dyDescent="0.4">
      <c r="F2" s="209"/>
      <c r="G2" s="210"/>
      <c r="H2" s="211"/>
    </row>
  </sheetData>
  <mergeCells count="1">
    <mergeCell ref="F1:H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LendingClub_Button1_Click">
                <anchor moveWithCells="1" sizeWithCells="1">
                  <from>
                    <xdr:col>0</xdr:col>
                    <xdr:colOff>285750</xdr:colOff>
                    <xdr:row>0</xdr:row>
                    <xdr:rowOff>171450</xdr:rowOff>
                  </from>
                  <to>
                    <xdr:col>1</xdr:col>
                    <xdr:colOff>596900</xdr:colOff>
                    <xdr:row>3</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Answer 5</vt:lpstr>
      <vt:lpstr>5 (i)</vt:lpstr>
      <vt:lpstr>BP vs r</vt:lpstr>
      <vt:lpstr>BP vs Cpr</vt:lpstr>
      <vt:lpstr>BP vs m</vt:lpstr>
      <vt:lpstr>BP vs r vs T</vt:lpstr>
      <vt:lpstr>Duration</vt:lpstr>
      <vt:lpstr>Dur vs Cpr</vt:lpstr>
      <vt:lpstr>Dur vs m</vt:lpstr>
      <vt:lpstr>Dur vs r</vt:lpstr>
      <vt:lpstr>Hopewell Kaufman</vt:lpstr>
      <vt:lpstr>(ii)YTM Bisection</vt:lpstr>
      <vt:lpstr>(iii) Mortgage</vt:lpstr>
      <vt:lpstr>Schedule</vt:lpstr>
      <vt:lpstr> (iv) Bootstrap</vt:lpstr>
      <vt:lpstr>6. (i) Black1976</vt:lpstr>
      <vt:lpstr>Black1976 vs Future</vt:lpstr>
      <vt:lpstr>Black1976 vs Sigma</vt:lpstr>
      <vt:lpstr>(ii)</vt:lpstr>
      <vt:lpstr>Taylor Rule</vt:lpstr>
      <vt:lpstr>Regression </vt:lpstr>
      <vt:lpstr>Linest</vt:lpstr>
      <vt:lpstr>Taylor Rule With Unemployment</vt:lpstr>
      <vt:lpstr>Taylor Rule with DV</vt:lpstr>
      <vt:lpstr>Lending Club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Janit Pathak</dc:creator>
  <cp:lastModifiedBy>Janit Pathak</cp:lastModifiedBy>
  <dcterms:created xsi:type="dcterms:W3CDTF">2025-04-12T22:07:57Z</dcterms:created>
  <dcterms:modified xsi:type="dcterms:W3CDTF">2026-02-15T23:26:53Z</dcterms:modified>
</cp:coreProperties>
</file>